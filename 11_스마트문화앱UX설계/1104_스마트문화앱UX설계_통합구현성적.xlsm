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이창훈_포토폴리오\11_스마트문화앱UX설계\"/>
    </mc:Choice>
  </mc:AlternateContent>
  <bookViews>
    <workbookView xWindow="2175" yWindow="855" windowWidth="41760" windowHeight="19935" activeTab="2"/>
  </bookViews>
  <sheets>
    <sheet name="기초데이타(작성필히)" sheetId="6" r:id="rId1"/>
    <sheet name="훈련생명단" sheetId="2" r:id="rId2"/>
    <sheet name="점수계산" sheetId="1" r:id="rId3"/>
    <sheet name="전체 훈련생 평가 채점표" sheetId="3" r:id="rId4"/>
    <sheet name="보고서" sheetId="4" r:id="rId5"/>
    <sheet name="수행평가" sheetId="5" r:id="rId6"/>
  </sheets>
  <functionGroups builtInGroupCount="18"/>
  <definedNames>
    <definedName name="_xlnm.Print_Area" localSheetId="3">'전체 훈련생 평가 채점표'!$A$1:$K$88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A1291" i="5" l="1"/>
  <c r="A38" i="5"/>
  <c r="A82" i="5" s="1"/>
  <c r="A126" i="5" s="1"/>
  <c r="A170" i="5" s="1"/>
  <c r="A214" i="5" s="1"/>
  <c r="A258" i="5" s="1"/>
  <c r="A302" i="5" s="1"/>
  <c r="A346" i="5" s="1"/>
  <c r="A390" i="5" s="1"/>
  <c r="A434" i="5" s="1"/>
  <c r="A478" i="5" s="1"/>
  <c r="A522" i="5" s="1"/>
  <c r="A566" i="5" s="1"/>
  <c r="A610" i="5" s="1"/>
  <c r="A654" i="5" s="1"/>
  <c r="A698" i="5" s="1"/>
  <c r="A742" i="5" s="1"/>
  <c r="A786" i="5" s="1"/>
  <c r="A830" i="5" s="1"/>
  <c r="A874" i="5" s="1"/>
  <c r="A918" i="5" s="1"/>
  <c r="A962" i="5" s="1"/>
  <c r="A1006" i="5" s="1"/>
  <c r="A1050" i="5" s="1"/>
  <c r="A1094" i="5" s="1"/>
  <c r="A1138" i="5" s="1"/>
  <c r="A1182" i="5" s="1"/>
  <c r="A1226" i="5" s="1"/>
  <c r="A1270" i="5" s="1"/>
  <c r="A1314" i="5" s="1"/>
  <c r="G106" i="4"/>
  <c r="C106" i="4"/>
  <c r="B106" i="4"/>
  <c r="G105" i="4"/>
  <c r="C105" i="4"/>
  <c r="B105" i="4"/>
  <c r="G104" i="4"/>
  <c r="C104" i="4"/>
  <c r="B104" i="4"/>
  <c r="G103" i="4"/>
  <c r="C103" i="4"/>
  <c r="B103" i="4"/>
  <c r="G102" i="4"/>
  <c r="C102" i="4"/>
  <c r="B102" i="4"/>
  <c r="G101" i="4"/>
  <c r="C101" i="4"/>
  <c r="B101" i="4"/>
  <c r="G100" i="4"/>
  <c r="C100" i="4"/>
  <c r="B100" i="4"/>
  <c r="G99" i="4"/>
  <c r="C99" i="4"/>
  <c r="B99" i="4"/>
  <c r="G98" i="4"/>
  <c r="C98" i="4"/>
  <c r="B98" i="4"/>
  <c r="G97" i="4"/>
  <c r="C97" i="4"/>
  <c r="B97" i="4"/>
  <c r="G96" i="4"/>
  <c r="C96" i="4"/>
  <c r="B96" i="4"/>
  <c r="G95" i="4"/>
  <c r="C95" i="4"/>
  <c r="B95" i="4"/>
  <c r="G94" i="4"/>
  <c r="C94" i="4"/>
  <c r="B94" i="4"/>
  <c r="G93" i="4"/>
  <c r="C93" i="4"/>
  <c r="B93" i="4"/>
  <c r="G92" i="4"/>
  <c r="C92" i="4"/>
  <c r="B92" i="4"/>
  <c r="G91" i="4"/>
  <c r="C91" i="4"/>
  <c r="B91" i="4"/>
  <c r="G90" i="4"/>
  <c r="C90" i="4"/>
  <c r="B90" i="4"/>
  <c r="G89" i="4"/>
  <c r="C89" i="4"/>
  <c r="B89" i="4"/>
  <c r="G88" i="4"/>
  <c r="C88" i="4"/>
  <c r="B88" i="4"/>
  <c r="G87" i="4"/>
  <c r="C87" i="4"/>
  <c r="B87" i="4"/>
  <c r="G86" i="4"/>
  <c r="C86" i="4"/>
  <c r="B86" i="4"/>
  <c r="G85" i="4"/>
  <c r="C85" i="4"/>
  <c r="B85" i="4"/>
  <c r="G84" i="4"/>
  <c r="C84" i="4"/>
  <c r="B84" i="4"/>
  <c r="G83" i="4"/>
  <c r="C83" i="4"/>
  <c r="B83" i="4"/>
  <c r="G82" i="4"/>
  <c r="C82" i="4"/>
  <c r="B82" i="4"/>
  <c r="G81" i="4"/>
  <c r="C81" i="4"/>
  <c r="B81" i="4"/>
  <c r="G80" i="4"/>
  <c r="C80" i="4"/>
  <c r="B80" i="4"/>
  <c r="G79" i="4"/>
  <c r="C79" i="4"/>
  <c r="B79" i="4"/>
  <c r="G78" i="4"/>
  <c r="C78" i="4"/>
  <c r="B78" i="4"/>
  <c r="G77" i="4"/>
  <c r="C77" i="4"/>
  <c r="B77" i="4"/>
  <c r="H38" i="3"/>
  <c r="B38" i="3"/>
  <c r="H37" i="3"/>
  <c r="B37" i="3"/>
  <c r="B36" i="3"/>
  <c r="H36" i="3" s="1"/>
  <c r="H35" i="3"/>
  <c r="B35" i="3"/>
  <c r="H34" i="3"/>
  <c r="B34" i="3"/>
  <c r="B33" i="3"/>
  <c r="H33" i="3" s="1"/>
  <c r="H32" i="3"/>
  <c r="B32" i="3"/>
  <c r="H31" i="3"/>
  <c r="B31" i="3"/>
  <c r="B30" i="3"/>
  <c r="H30" i="3" s="1"/>
  <c r="H29" i="3"/>
  <c r="B29" i="3"/>
  <c r="B28" i="3"/>
  <c r="B27" i="3"/>
  <c r="B26" i="3"/>
  <c r="B25" i="3"/>
  <c r="B24" i="3"/>
  <c r="B23" i="3"/>
  <c r="C622" i="5" s="1"/>
  <c r="A627" i="5" s="1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F33" i="1"/>
  <c r="D33" i="1"/>
  <c r="B33" i="1"/>
  <c r="H33" i="1" s="1"/>
  <c r="F32" i="1"/>
  <c r="D32" i="1"/>
  <c r="B32" i="1"/>
  <c r="H32" i="1" s="1"/>
  <c r="H31" i="1"/>
  <c r="F31" i="1"/>
  <c r="D31" i="1"/>
  <c r="B31" i="1"/>
  <c r="G31" i="1" s="1"/>
  <c r="H30" i="1"/>
  <c r="G30" i="1"/>
  <c r="F30" i="1"/>
  <c r="D30" i="1"/>
  <c r="B30" i="1"/>
  <c r="G29" i="1"/>
  <c r="F29" i="1"/>
  <c r="D29" i="1"/>
  <c r="B29" i="1"/>
  <c r="H29" i="1" s="1"/>
  <c r="G28" i="1"/>
  <c r="F28" i="1"/>
  <c r="D28" i="1"/>
  <c r="B28" i="1"/>
  <c r="H28" i="1" s="1"/>
  <c r="F27" i="1"/>
  <c r="D27" i="1"/>
  <c r="B27" i="1"/>
  <c r="H27" i="1" s="1"/>
  <c r="F26" i="1"/>
  <c r="D26" i="1"/>
  <c r="B26" i="1"/>
  <c r="H26" i="1" s="1"/>
  <c r="H25" i="1"/>
  <c r="F25" i="1"/>
  <c r="D25" i="1"/>
  <c r="B25" i="1"/>
  <c r="G25" i="1" s="1"/>
  <c r="H24" i="1"/>
  <c r="G24" i="1"/>
  <c r="F24" i="1"/>
  <c r="D24" i="1"/>
  <c r="B24" i="1"/>
  <c r="F23" i="1"/>
  <c r="D23" i="1"/>
  <c r="B23" i="1"/>
  <c r="F22" i="1"/>
  <c r="D22" i="1"/>
  <c r="B22" i="1"/>
  <c r="F21" i="1"/>
  <c r="D21" i="1"/>
  <c r="B21" i="1"/>
  <c r="F20" i="1"/>
  <c r="D20" i="1"/>
  <c r="B20" i="1"/>
  <c r="F19" i="1"/>
  <c r="D19" i="1"/>
  <c r="B19" i="1"/>
  <c r="F18" i="1"/>
  <c r="D18" i="1"/>
  <c r="B18" i="1"/>
  <c r="F17" i="1"/>
  <c r="D17" i="1"/>
  <c r="B17" i="1"/>
  <c r="F16" i="1"/>
  <c r="D16" i="1"/>
  <c r="B16" i="1"/>
  <c r="F15" i="1"/>
  <c r="D15" i="1"/>
  <c r="B15" i="1"/>
  <c r="F14" i="1"/>
  <c r="D14" i="1"/>
  <c r="B14" i="1"/>
  <c r="F13" i="1"/>
  <c r="D13" i="1"/>
  <c r="B13" i="1"/>
  <c r="F12" i="1"/>
  <c r="D12" i="1"/>
  <c r="B12" i="1"/>
  <c r="F11" i="1"/>
  <c r="D11" i="1"/>
  <c r="B11" i="1"/>
  <c r="F10" i="1"/>
  <c r="D10" i="1"/>
  <c r="B10" i="1"/>
  <c r="F9" i="1"/>
  <c r="D9" i="1"/>
  <c r="B9" i="1"/>
  <c r="F8" i="1"/>
  <c r="D8" i="1"/>
  <c r="B8" i="1"/>
  <c r="F7" i="1"/>
  <c r="D7" i="1"/>
  <c r="B7" i="1"/>
  <c r="F6" i="1"/>
  <c r="D6" i="1"/>
  <c r="B6" i="1"/>
  <c r="F5" i="1"/>
  <c r="D5" i="1"/>
  <c r="B5" i="1"/>
  <c r="F4" i="1"/>
  <c r="D4" i="1"/>
  <c r="B4" i="1"/>
  <c r="B35" i="1"/>
  <c r="H46" i="5" l="1"/>
  <c r="I1283" i="5"/>
  <c r="A89" i="5"/>
  <c r="A265" i="5"/>
  <c r="A617" i="5"/>
  <c r="F10" i="4"/>
  <c r="A749" i="5"/>
  <c r="I931" i="5"/>
  <c r="G22" i="1"/>
  <c r="I227" i="5"/>
  <c r="H750" i="5"/>
  <c r="I403" i="5"/>
  <c r="I1063" i="5"/>
  <c r="H576" i="5"/>
  <c r="D583" i="5" s="1"/>
  <c r="H1148" i="5"/>
  <c r="D1155" i="5" s="1"/>
  <c r="F16" i="4"/>
  <c r="H400" i="5"/>
  <c r="D407" i="5" s="1"/>
  <c r="A925" i="5"/>
  <c r="F14" i="4"/>
  <c r="A133" i="5"/>
  <c r="H268" i="5"/>
  <c r="D275" i="5" s="1"/>
  <c r="A485" i="5"/>
  <c r="H620" i="5"/>
  <c r="D627" i="5" s="1"/>
  <c r="I799" i="5"/>
  <c r="H970" i="5"/>
  <c r="A1189" i="5"/>
  <c r="I139" i="5"/>
  <c r="H488" i="5"/>
  <c r="D495" i="5" s="1"/>
  <c r="A837" i="5"/>
  <c r="H1192" i="5"/>
  <c r="D1199" i="5" s="1"/>
  <c r="B2" i="3"/>
  <c r="A177" i="5"/>
  <c r="H354" i="5"/>
  <c r="I491" i="5"/>
  <c r="H706" i="5"/>
  <c r="H838" i="5"/>
  <c r="I1019" i="5"/>
  <c r="H1278" i="5"/>
  <c r="H310" i="5"/>
  <c r="I623" i="5"/>
  <c r="H972" i="5"/>
  <c r="D979" i="5" s="1"/>
  <c r="K2" i="3"/>
  <c r="A45" i="5"/>
  <c r="H178" i="5"/>
  <c r="H356" i="5"/>
  <c r="D363" i="5" s="1"/>
  <c r="A529" i="5"/>
  <c r="H708" i="5"/>
  <c r="D715" i="5" s="1"/>
  <c r="H882" i="5"/>
  <c r="H1060" i="5"/>
  <c r="D1067" i="5" s="1"/>
  <c r="H1280" i="5"/>
  <c r="D1287" i="5" s="1"/>
  <c r="H3" i="3"/>
  <c r="F17" i="4"/>
  <c r="H90" i="5"/>
  <c r="A221" i="5"/>
  <c r="H312" i="5"/>
  <c r="D319" i="5" s="1"/>
  <c r="A441" i="5"/>
  <c r="I535" i="5"/>
  <c r="A661" i="5"/>
  <c r="A793" i="5"/>
  <c r="H884" i="5"/>
  <c r="D891" i="5" s="1"/>
  <c r="A1013" i="5"/>
  <c r="H1104" i="5"/>
  <c r="D1111" i="5" s="1"/>
  <c r="A1233" i="5"/>
  <c r="H1102" i="5"/>
  <c r="I1195" i="5"/>
  <c r="B2" i="2"/>
  <c r="F8" i="3"/>
  <c r="C3" i="1" s="1"/>
  <c r="L2" i="5"/>
  <c r="I95" i="5"/>
  <c r="H224" i="5"/>
  <c r="D231" i="5" s="1"/>
  <c r="A353" i="5"/>
  <c r="H442" i="5"/>
  <c r="A573" i="5"/>
  <c r="I667" i="5"/>
  <c r="H796" i="5"/>
  <c r="D803" i="5" s="1"/>
  <c r="I887" i="5"/>
  <c r="H1016" i="5"/>
  <c r="D1023" i="5" s="1"/>
  <c r="A1145" i="5"/>
  <c r="A1277" i="5"/>
  <c r="G5" i="4"/>
  <c r="H11" i="5"/>
  <c r="H92" i="5"/>
  <c r="D99" i="5" s="1"/>
  <c r="H180" i="5"/>
  <c r="D187" i="5" s="1"/>
  <c r="I271" i="5"/>
  <c r="A397" i="5"/>
  <c r="H486" i="5"/>
  <c r="H574" i="5"/>
  <c r="H664" i="5"/>
  <c r="D671" i="5" s="1"/>
  <c r="H752" i="5"/>
  <c r="D759" i="5" s="1"/>
  <c r="A881" i="5"/>
  <c r="A969" i="5"/>
  <c r="A1057" i="5"/>
  <c r="H1146" i="5"/>
  <c r="H1234" i="5"/>
  <c r="I34" i="1"/>
  <c r="AF9" i="3"/>
  <c r="B2" i="5"/>
  <c r="H48" i="5"/>
  <c r="D55" i="5" s="1"/>
  <c r="H136" i="5"/>
  <c r="D143" i="5" s="1"/>
  <c r="H222" i="5"/>
  <c r="A309" i="5"/>
  <c r="I359" i="5"/>
  <c r="H444" i="5"/>
  <c r="D451" i="5" s="1"/>
  <c r="H532" i="5"/>
  <c r="D539" i="5" s="1"/>
  <c r="H618" i="5"/>
  <c r="A705" i="5"/>
  <c r="I755" i="5"/>
  <c r="H840" i="5"/>
  <c r="D847" i="5" s="1"/>
  <c r="H928" i="5"/>
  <c r="D935" i="5" s="1"/>
  <c r="H1014" i="5"/>
  <c r="A1101" i="5"/>
  <c r="I1151" i="5"/>
  <c r="H1236" i="5"/>
  <c r="D1243" i="5" s="1"/>
  <c r="K3" i="3"/>
  <c r="F11" i="4"/>
  <c r="C5" i="5"/>
  <c r="D15" i="5" s="1"/>
  <c r="I51" i="5"/>
  <c r="H134" i="5"/>
  <c r="I183" i="5"/>
  <c r="H266" i="5"/>
  <c r="I315" i="5"/>
  <c r="H398" i="5"/>
  <c r="I447" i="5"/>
  <c r="H530" i="5"/>
  <c r="I579" i="5"/>
  <c r="H662" i="5"/>
  <c r="I711" i="5"/>
  <c r="H794" i="5"/>
  <c r="I843" i="5"/>
  <c r="H926" i="5"/>
  <c r="I975" i="5"/>
  <c r="H1058" i="5"/>
  <c r="I1107" i="5"/>
  <c r="H1190" i="5"/>
  <c r="I1239" i="5"/>
  <c r="C3" i="3"/>
  <c r="G8" i="3"/>
  <c r="A1261" i="5" s="1"/>
  <c r="F9" i="4"/>
  <c r="F15" i="4"/>
  <c r="G24" i="4" s="1"/>
  <c r="D2" i="5"/>
  <c r="E6" i="5"/>
  <c r="B46" i="5"/>
  <c r="C49" i="5"/>
  <c r="D59" i="5" s="1"/>
  <c r="B90" i="5"/>
  <c r="C93" i="5"/>
  <c r="D103" i="5" s="1"/>
  <c r="B134" i="5"/>
  <c r="C137" i="5"/>
  <c r="D147" i="5" s="1"/>
  <c r="B178" i="5"/>
  <c r="C181" i="5"/>
  <c r="D191" i="5" s="1"/>
  <c r="B222" i="5"/>
  <c r="C225" i="5"/>
  <c r="D235" i="5" s="1"/>
  <c r="B266" i="5"/>
  <c r="C269" i="5"/>
  <c r="D279" i="5" s="1"/>
  <c r="B310" i="5"/>
  <c r="C313" i="5"/>
  <c r="D323" i="5" s="1"/>
  <c r="B354" i="5"/>
  <c r="C357" i="5"/>
  <c r="D367" i="5" s="1"/>
  <c r="B398" i="5"/>
  <c r="C401" i="5"/>
  <c r="D411" i="5" s="1"/>
  <c r="B442" i="5"/>
  <c r="C445" i="5"/>
  <c r="D455" i="5" s="1"/>
  <c r="B486" i="5"/>
  <c r="C489" i="5"/>
  <c r="D499" i="5" s="1"/>
  <c r="B530" i="5"/>
  <c r="C533" i="5"/>
  <c r="D543" i="5" s="1"/>
  <c r="B574" i="5"/>
  <c r="C577" i="5"/>
  <c r="D587" i="5" s="1"/>
  <c r="B618" i="5"/>
  <c r="C621" i="5"/>
  <c r="D631" i="5" s="1"/>
  <c r="B662" i="5"/>
  <c r="C665" i="5"/>
  <c r="D675" i="5" s="1"/>
  <c r="B706" i="5"/>
  <c r="C709" i="5"/>
  <c r="D719" i="5" s="1"/>
  <c r="B750" i="5"/>
  <c r="C753" i="5"/>
  <c r="D763" i="5" s="1"/>
  <c r="B794" i="5"/>
  <c r="C797" i="5"/>
  <c r="D807" i="5" s="1"/>
  <c r="B838" i="5"/>
  <c r="C841" i="5"/>
  <c r="D851" i="5" s="1"/>
  <c r="B882" i="5"/>
  <c r="C885" i="5"/>
  <c r="D895" i="5" s="1"/>
  <c r="B926" i="5"/>
  <c r="C929" i="5"/>
  <c r="D939" i="5" s="1"/>
  <c r="B970" i="5"/>
  <c r="C973" i="5"/>
  <c r="D983" i="5" s="1"/>
  <c r="B1014" i="5"/>
  <c r="C1017" i="5"/>
  <c r="D1027" i="5" s="1"/>
  <c r="B1058" i="5"/>
  <c r="C1061" i="5"/>
  <c r="D1071" i="5" s="1"/>
  <c r="B1102" i="5"/>
  <c r="C1105" i="5"/>
  <c r="D1115" i="5" s="1"/>
  <c r="B1146" i="5"/>
  <c r="C1149" i="5"/>
  <c r="D1159" i="5" s="1"/>
  <c r="B1190" i="5"/>
  <c r="C1193" i="5"/>
  <c r="D1203" i="5" s="1"/>
  <c r="B1234" i="5"/>
  <c r="C1237" i="5"/>
  <c r="D1247" i="5" s="1"/>
  <c r="B1278" i="5"/>
  <c r="C1281" i="5"/>
  <c r="D1291" i="5" s="1"/>
  <c r="H2" i="5"/>
  <c r="I7" i="5"/>
  <c r="D46" i="5"/>
  <c r="E50" i="5"/>
  <c r="D90" i="5"/>
  <c r="E94" i="5"/>
  <c r="D134" i="5"/>
  <c r="E138" i="5"/>
  <c r="D178" i="5"/>
  <c r="E182" i="5"/>
  <c r="D222" i="5"/>
  <c r="E226" i="5"/>
  <c r="D266" i="5"/>
  <c r="E270" i="5"/>
  <c r="D310" i="5"/>
  <c r="E314" i="5"/>
  <c r="D354" i="5"/>
  <c r="E358" i="5"/>
  <c r="D398" i="5"/>
  <c r="E402" i="5"/>
  <c r="D442" i="5"/>
  <c r="E446" i="5"/>
  <c r="D486" i="5"/>
  <c r="E490" i="5"/>
  <c r="D530" i="5"/>
  <c r="E534" i="5"/>
  <c r="D574" i="5"/>
  <c r="E578" i="5"/>
  <c r="D618" i="5"/>
  <c r="E622" i="5"/>
  <c r="D662" i="5"/>
  <c r="E666" i="5"/>
  <c r="D706" i="5"/>
  <c r="E710" i="5"/>
  <c r="D750" i="5"/>
  <c r="E754" i="5"/>
  <c r="D794" i="5"/>
  <c r="E798" i="5"/>
  <c r="D838" i="5"/>
  <c r="E842" i="5"/>
  <c r="D882" i="5"/>
  <c r="E886" i="5"/>
  <c r="D926" i="5"/>
  <c r="E930" i="5"/>
  <c r="D970" i="5"/>
  <c r="E974" i="5"/>
  <c r="D1014" i="5"/>
  <c r="E1018" i="5"/>
  <c r="D1058" i="5"/>
  <c r="E1062" i="5"/>
  <c r="D1102" i="5"/>
  <c r="E1106" i="5"/>
  <c r="D1146" i="5"/>
  <c r="E1150" i="5"/>
  <c r="D1190" i="5"/>
  <c r="E1194" i="5"/>
  <c r="D1234" i="5"/>
  <c r="E1238" i="5"/>
  <c r="D1278" i="5"/>
  <c r="E1282" i="5"/>
  <c r="D2" i="2"/>
  <c r="D2" i="3"/>
  <c r="C4" i="3"/>
  <c r="A80" i="3"/>
  <c r="F12" i="4"/>
  <c r="F18" i="4"/>
  <c r="C4" i="5"/>
  <c r="D13" i="5" s="1"/>
  <c r="A15" i="5"/>
  <c r="L46" i="5"/>
  <c r="H55" i="5"/>
  <c r="L90" i="5"/>
  <c r="H99" i="5"/>
  <c r="L134" i="5"/>
  <c r="H143" i="5"/>
  <c r="L178" i="5"/>
  <c r="H187" i="5"/>
  <c r="L222" i="5"/>
  <c r="H231" i="5"/>
  <c r="L266" i="5"/>
  <c r="H275" i="5"/>
  <c r="L310" i="5"/>
  <c r="H319" i="5"/>
  <c r="L354" i="5"/>
  <c r="H363" i="5"/>
  <c r="L398" i="5"/>
  <c r="H407" i="5"/>
  <c r="L442" i="5"/>
  <c r="H451" i="5"/>
  <c r="L486" i="5"/>
  <c r="H495" i="5"/>
  <c r="L530" i="5"/>
  <c r="H539" i="5"/>
  <c r="L574" i="5"/>
  <c r="H583" i="5"/>
  <c r="L618" i="5"/>
  <c r="H627" i="5"/>
  <c r="L662" i="5"/>
  <c r="H671" i="5"/>
  <c r="L706" i="5"/>
  <c r="H715" i="5"/>
  <c r="L750" i="5"/>
  <c r="H759" i="5"/>
  <c r="L794" i="5"/>
  <c r="H803" i="5"/>
  <c r="L838" i="5"/>
  <c r="H847" i="5"/>
  <c r="L882" i="5"/>
  <c r="H891" i="5"/>
  <c r="L926" i="5"/>
  <c r="H935" i="5"/>
  <c r="L970" i="5"/>
  <c r="H979" i="5"/>
  <c r="L1014" i="5"/>
  <c r="H1023" i="5"/>
  <c r="L1058" i="5"/>
  <c r="H1067" i="5"/>
  <c r="L1102" i="5"/>
  <c r="H1111" i="5"/>
  <c r="L1146" i="5"/>
  <c r="H1155" i="5"/>
  <c r="L1190" i="5"/>
  <c r="H1199" i="5"/>
  <c r="L1234" i="5"/>
  <c r="H1243" i="5"/>
  <c r="L1278" i="5"/>
  <c r="H1287" i="5"/>
  <c r="I1" i="1"/>
  <c r="H2" i="3"/>
  <c r="A2" i="4"/>
  <c r="F13" i="4"/>
  <c r="A1" i="5"/>
  <c r="H4" i="5"/>
  <c r="D11" i="5" s="1"/>
  <c r="C48" i="5"/>
  <c r="D57" i="5" s="1"/>
  <c r="A59" i="5"/>
  <c r="C92" i="5"/>
  <c r="D101" i="5" s="1"/>
  <c r="A103" i="5"/>
  <c r="C136" i="5"/>
  <c r="D145" i="5" s="1"/>
  <c r="A147" i="5"/>
  <c r="C180" i="5"/>
  <c r="D189" i="5" s="1"/>
  <c r="A191" i="5"/>
  <c r="C224" i="5"/>
  <c r="D233" i="5" s="1"/>
  <c r="A235" i="5"/>
  <c r="C268" i="5"/>
  <c r="D277" i="5" s="1"/>
  <c r="A279" i="5"/>
  <c r="C312" i="5"/>
  <c r="D321" i="5" s="1"/>
  <c r="A323" i="5"/>
  <c r="C356" i="5"/>
  <c r="D365" i="5" s="1"/>
  <c r="A367" i="5"/>
  <c r="C400" i="5"/>
  <c r="D409" i="5" s="1"/>
  <c r="A411" i="5"/>
  <c r="C444" i="5"/>
  <c r="D453" i="5" s="1"/>
  <c r="A455" i="5"/>
  <c r="C488" i="5"/>
  <c r="D497" i="5" s="1"/>
  <c r="A499" i="5"/>
  <c r="C532" i="5"/>
  <c r="D541" i="5" s="1"/>
  <c r="A543" i="5"/>
  <c r="C576" i="5"/>
  <c r="D585" i="5" s="1"/>
  <c r="A587" i="5"/>
  <c r="C620" i="5"/>
  <c r="D629" i="5" s="1"/>
  <c r="A631" i="5"/>
  <c r="C664" i="5"/>
  <c r="D673" i="5" s="1"/>
  <c r="A675" i="5"/>
  <c r="C708" i="5"/>
  <c r="D717" i="5" s="1"/>
  <c r="A719" i="5"/>
  <c r="C752" i="5"/>
  <c r="D761" i="5" s="1"/>
  <c r="A763" i="5"/>
  <c r="C796" i="5"/>
  <c r="D805" i="5" s="1"/>
  <c r="A807" i="5"/>
  <c r="C840" i="5"/>
  <c r="D849" i="5" s="1"/>
  <c r="A851" i="5"/>
  <c r="C884" i="5"/>
  <c r="D893" i="5" s="1"/>
  <c r="A895" i="5"/>
  <c r="C928" i="5"/>
  <c r="D937" i="5" s="1"/>
  <c r="A939" i="5"/>
  <c r="C972" i="5"/>
  <c r="D981" i="5" s="1"/>
  <c r="A983" i="5"/>
  <c r="C1016" i="5"/>
  <c r="D1025" i="5" s="1"/>
  <c r="A1027" i="5"/>
  <c r="C1060" i="5"/>
  <c r="D1069" i="5" s="1"/>
  <c r="A1071" i="5"/>
  <c r="C1104" i="5"/>
  <c r="D1113" i="5" s="1"/>
  <c r="A1115" i="5"/>
  <c r="C1148" i="5"/>
  <c r="D1157" i="5" s="1"/>
  <c r="A1159" i="5"/>
  <c r="C1192" i="5"/>
  <c r="D1201" i="5" s="1"/>
  <c r="A1203" i="5"/>
  <c r="C1236" i="5"/>
  <c r="D1245" i="5" s="1"/>
  <c r="A1247" i="5"/>
  <c r="C1280" i="5"/>
  <c r="D1289" i="5" s="1"/>
  <c r="G7" i="1"/>
  <c r="H7" i="1" s="1"/>
  <c r="G8" i="1"/>
  <c r="H8" i="1" s="1"/>
  <c r="G12" i="3"/>
  <c r="D172" i="5" s="1"/>
  <c r="G5" i="1"/>
  <c r="H5" i="1" s="1"/>
  <c r="G14" i="1"/>
  <c r="H14" i="1" s="1"/>
  <c r="G13" i="1"/>
  <c r="H13" i="1" s="1"/>
  <c r="G19" i="1"/>
  <c r="H19" i="1" s="1"/>
  <c r="G23" i="1"/>
  <c r="G23" i="3"/>
  <c r="G17" i="1"/>
  <c r="H17" i="1" s="1"/>
  <c r="F9" i="3"/>
  <c r="D39" i="5" s="1"/>
  <c r="G12" i="1"/>
  <c r="H12" i="1" s="1"/>
  <c r="G10" i="3"/>
  <c r="D84" i="5" s="1"/>
  <c r="G11" i="1"/>
  <c r="H11" i="1" s="1"/>
  <c r="G6" i="1"/>
  <c r="H6" i="1" s="1"/>
  <c r="F23" i="3"/>
  <c r="D655" i="5" s="1"/>
  <c r="H22" i="1"/>
  <c r="C36" i="3"/>
  <c r="D36" i="3"/>
  <c r="E104" i="4"/>
  <c r="F104" i="4" s="1"/>
  <c r="C33" i="3"/>
  <c r="E101" i="4"/>
  <c r="F101" i="4" s="1"/>
  <c r="D33" i="3"/>
  <c r="C30" i="3"/>
  <c r="D30" i="3"/>
  <c r="E98" i="4"/>
  <c r="F98" i="4" s="1"/>
  <c r="H23" i="1"/>
  <c r="G11" i="3"/>
  <c r="D128" i="5" s="1"/>
  <c r="C38" i="3"/>
  <c r="E106" i="4"/>
  <c r="F106" i="4" s="1"/>
  <c r="D38" i="3"/>
  <c r="G18" i="1"/>
  <c r="H18" i="1" s="1"/>
  <c r="C798" i="5"/>
  <c r="A803" i="5" s="1"/>
  <c r="G27" i="3"/>
  <c r="D832" i="5" s="1"/>
  <c r="F27" i="3"/>
  <c r="D831" i="5" s="1"/>
  <c r="F16" i="3"/>
  <c r="D347" i="5" s="1"/>
  <c r="C314" i="5"/>
  <c r="A319" i="5" s="1"/>
  <c r="G16" i="3"/>
  <c r="D348" i="5" s="1"/>
  <c r="C402" i="5"/>
  <c r="A407" i="5" s="1"/>
  <c r="F18" i="3"/>
  <c r="D435" i="5" s="1"/>
  <c r="G18" i="3"/>
  <c r="D436" i="5" s="1"/>
  <c r="F20" i="3"/>
  <c r="D523" i="5" s="1"/>
  <c r="C490" i="5"/>
  <c r="A495" i="5" s="1"/>
  <c r="G20" i="3"/>
  <c r="D524" i="5" s="1"/>
  <c r="G4" i="1"/>
  <c r="H4" i="1" s="1"/>
  <c r="G10" i="1"/>
  <c r="H10" i="1" s="1"/>
  <c r="G16" i="1"/>
  <c r="H16" i="1" s="1"/>
  <c r="G21" i="1"/>
  <c r="H21" i="1" s="1"/>
  <c r="G27" i="1"/>
  <c r="G33" i="1"/>
  <c r="F11" i="3"/>
  <c r="D127" i="5" s="1"/>
  <c r="C94" i="5"/>
  <c r="A99" i="5" s="1"/>
  <c r="C710" i="5"/>
  <c r="A715" i="5" s="1"/>
  <c r="G25" i="3"/>
  <c r="D744" i="5" s="1"/>
  <c r="F25" i="3"/>
  <c r="C842" i="5"/>
  <c r="A847" i="5" s="1"/>
  <c r="G28" i="3"/>
  <c r="D876" i="5" s="1"/>
  <c r="F28" i="3"/>
  <c r="C974" i="5"/>
  <c r="A979" i="5" s="1"/>
  <c r="G31" i="3"/>
  <c r="D1008" i="5" s="1"/>
  <c r="F31" i="3"/>
  <c r="D1007" i="5" s="1"/>
  <c r="C1106" i="5"/>
  <c r="A1111" i="5" s="1"/>
  <c r="G34" i="3"/>
  <c r="D1140" i="5" s="1"/>
  <c r="F34" i="3"/>
  <c r="D1139" i="5" s="1"/>
  <c r="C1238" i="5"/>
  <c r="A1243" i="5" s="1"/>
  <c r="G37" i="3"/>
  <c r="D1272" i="5" s="1"/>
  <c r="F37" i="3"/>
  <c r="D1271" i="5" s="1"/>
  <c r="G9" i="1"/>
  <c r="H9" i="1" s="1"/>
  <c r="G26" i="1"/>
  <c r="E102" i="4"/>
  <c r="F102" i="4" s="1"/>
  <c r="C34" i="3"/>
  <c r="D34" i="3"/>
  <c r="C32" i="3"/>
  <c r="E100" i="4"/>
  <c r="F100" i="4" s="1"/>
  <c r="D32" i="3"/>
  <c r="C666" i="5"/>
  <c r="A671" i="5" s="1"/>
  <c r="G24" i="3"/>
  <c r="D700" i="5" s="1"/>
  <c r="F24" i="3"/>
  <c r="D699" i="5" s="1"/>
  <c r="G15" i="1"/>
  <c r="H15" i="1" s="1"/>
  <c r="G20" i="1"/>
  <c r="H20" i="1" s="1"/>
  <c r="G32" i="1"/>
  <c r="C31" i="3"/>
  <c r="E99" i="4"/>
  <c r="F99" i="4" s="1"/>
  <c r="D31" i="3"/>
  <c r="C37" i="3"/>
  <c r="E105" i="4"/>
  <c r="F105" i="4" s="1"/>
  <c r="D37" i="3"/>
  <c r="G9" i="3"/>
  <c r="D40" i="5" s="1"/>
  <c r="C6" i="5"/>
  <c r="A11" i="5" s="1"/>
  <c r="F10" i="3"/>
  <c r="D83" i="5" s="1"/>
  <c r="C50" i="5"/>
  <c r="A55" i="5" s="1"/>
  <c r="C182" i="5"/>
  <c r="A187" i="5" s="1"/>
  <c r="F13" i="3"/>
  <c r="D215" i="5" s="1"/>
  <c r="G13" i="3"/>
  <c r="D216" i="5" s="1"/>
  <c r="C270" i="5"/>
  <c r="A275" i="5" s="1"/>
  <c r="F15" i="3"/>
  <c r="D303" i="5" s="1"/>
  <c r="G15" i="3"/>
  <c r="D304" i="5" s="1"/>
  <c r="F17" i="3"/>
  <c r="D391" i="5" s="1"/>
  <c r="C358" i="5"/>
  <c r="A363" i="5" s="1"/>
  <c r="G17" i="3"/>
  <c r="D392" i="5" s="1"/>
  <c r="C446" i="5"/>
  <c r="A451" i="5" s="1"/>
  <c r="F19" i="3"/>
  <c r="D479" i="5" s="1"/>
  <c r="G19" i="3"/>
  <c r="D480" i="5" s="1"/>
  <c r="C534" i="5"/>
  <c r="A539" i="5" s="1"/>
  <c r="F21" i="3"/>
  <c r="D567" i="5" s="1"/>
  <c r="G21" i="3"/>
  <c r="D568" i="5" s="1"/>
  <c r="C754" i="5"/>
  <c r="A759" i="5" s="1"/>
  <c r="G26" i="3"/>
  <c r="D788" i="5" s="1"/>
  <c r="F26" i="3"/>
  <c r="C886" i="5"/>
  <c r="A891" i="5" s="1"/>
  <c r="G29" i="3"/>
  <c r="D920" i="5" s="1"/>
  <c r="F29" i="3"/>
  <c r="D919" i="5" s="1"/>
  <c r="C1018" i="5"/>
  <c r="A1023" i="5" s="1"/>
  <c r="G32" i="3"/>
  <c r="D1052" i="5" s="1"/>
  <c r="F32" i="3"/>
  <c r="D1051" i="5" s="1"/>
  <c r="C1150" i="5"/>
  <c r="A1155" i="5" s="1"/>
  <c r="G35" i="3"/>
  <c r="D1184" i="5" s="1"/>
  <c r="F35" i="3"/>
  <c r="D1183" i="5" s="1"/>
  <c r="C1282" i="5"/>
  <c r="A1287" i="5" s="1"/>
  <c r="G38" i="3"/>
  <c r="D1316" i="5" s="1"/>
  <c r="F38" i="3"/>
  <c r="D1315" i="5" s="1"/>
  <c r="C35" i="3"/>
  <c r="E103" i="4"/>
  <c r="F103" i="4" s="1"/>
  <c r="D35" i="3"/>
  <c r="C138" i="5"/>
  <c r="A143" i="5" s="1"/>
  <c r="F12" i="3"/>
  <c r="D171" i="5" s="1"/>
  <c r="C1062" i="5"/>
  <c r="A1067" i="5" s="1"/>
  <c r="G33" i="3"/>
  <c r="D1096" i="5" s="1"/>
  <c r="F33" i="3"/>
  <c r="D1095" i="5" s="1"/>
  <c r="C29" i="3"/>
  <c r="E97" i="4"/>
  <c r="F97" i="4" s="1"/>
  <c r="D29" i="3"/>
  <c r="C930" i="5"/>
  <c r="A935" i="5" s="1"/>
  <c r="G30" i="3"/>
  <c r="D964" i="5" s="1"/>
  <c r="F30" i="3"/>
  <c r="D963" i="5" s="1"/>
  <c r="C1194" i="5"/>
  <c r="A1199" i="5" s="1"/>
  <c r="G36" i="3"/>
  <c r="D1228" i="5" s="1"/>
  <c r="F36" i="3"/>
  <c r="D1227" i="5" s="1"/>
  <c r="F14" i="3"/>
  <c r="D259" i="5" s="1"/>
  <c r="C226" i="5"/>
  <c r="A231" i="5" s="1"/>
  <c r="G14" i="3"/>
  <c r="D260" i="5" s="1"/>
  <c r="C578" i="5"/>
  <c r="A583" i="5" s="1"/>
  <c r="F22" i="3"/>
  <c r="D611" i="5" s="1"/>
  <c r="G22" i="3"/>
  <c r="D612" i="5" s="1"/>
  <c r="D656" i="5"/>
  <c r="B34" i="1"/>
  <c r="J83" i="5" l="1"/>
  <c r="G65" i="5" s="1"/>
  <c r="J171" i="5"/>
  <c r="G159" i="5" s="1"/>
  <c r="J127" i="5"/>
  <c r="G121" i="5" s="1"/>
  <c r="A337" i="5"/>
  <c r="A865" i="5"/>
  <c r="A161" i="5"/>
  <c r="A469" i="5"/>
  <c r="A689" i="5"/>
  <c r="A294" i="5"/>
  <c r="A382" i="5"/>
  <c r="A1130" i="5"/>
  <c r="E3" i="1"/>
  <c r="A381" i="5"/>
  <c r="A1129" i="5"/>
  <c r="A425" i="5"/>
  <c r="A821" i="5"/>
  <c r="A953" i="5"/>
  <c r="A470" i="5"/>
  <c r="A998" i="5"/>
  <c r="A1174" i="5"/>
  <c r="A29" i="5"/>
  <c r="A1085" i="5"/>
  <c r="A162" i="5"/>
  <c r="A733" i="5"/>
  <c r="A1041" i="5"/>
  <c r="A954" i="5"/>
  <c r="A778" i="5"/>
  <c r="A249" i="5"/>
  <c r="A40" i="5"/>
  <c r="A84" i="5" s="1"/>
  <c r="A128" i="5" s="1"/>
  <c r="A172" i="5" s="1"/>
  <c r="A216" i="5" s="1"/>
  <c r="A260" i="5" s="1"/>
  <c r="A304" i="5" s="1"/>
  <c r="A348" i="5" s="1"/>
  <c r="A392" i="5" s="1"/>
  <c r="A436" i="5" s="1"/>
  <c r="A480" i="5" s="1"/>
  <c r="A524" i="5" s="1"/>
  <c r="A568" i="5" s="1"/>
  <c r="A612" i="5" s="1"/>
  <c r="A656" i="5" s="1"/>
  <c r="A700" i="5" s="1"/>
  <c r="A744" i="5" s="1"/>
  <c r="A788" i="5" s="1"/>
  <c r="A832" i="5" s="1"/>
  <c r="A876" i="5" s="1"/>
  <c r="A920" i="5" s="1"/>
  <c r="A964" i="5" s="1"/>
  <c r="A1008" i="5" s="1"/>
  <c r="A1052" i="5" s="1"/>
  <c r="A1096" i="5" s="1"/>
  <c r="A1140" i="5" s="1"/>
  <c r="A1184" i="5" s="1"/>
  <c r="A1228" i="5" s="1"/>
  <c r="A1272" i="5" s="1"/>
  <c r="A1316" i="5" s="1"/>
  <c r="A997" i="5"/>
  <c r="A1305" i="5"/>
  <c r="A909" i="5"/>
  <c r="A206" i="5"/>
  <c r="A558" i="5"/>
  <c r="A1306" i="5"/>
  <c r="A513" i="5"/>
  <c r="A777" i="5"/>
  <c r="A118" i="5"/>
  <c r="A601" i="5"/>
  <c r="A117" i="5"/>
  <c r="A205" i="5"/>
  <c r="A1173" i="5"/>
  <c r="A74" i="5"/>
  <c r="A646" i="5"/>
  <c r="A645" i="5"/>
  <c r="A1217" i="5"/>
  <c r="A73" i="5"/>
  <c r="A557" i="5"/>
  <c r="A293" i="5"/>
  <c r="A822" i="5"/>
  <c r="A30" i="5"/>
  <c r="A602" i="5"/>
  <c r="A39" i="5"/>
  <c r="A83" i="5" s="1"/>
  <c r="A127" i="5" s="1"/>
  <c r="A171" i="5" s="1"/>
  <c r="A215" i="5" s="1"/>
  <c r="A259" i="5" s="1"/>
  <c r="A303" i="5" s="1"/>
  <c r="A347" i="5" s="1"/>
  <c r="A391" i="5" s="1"/>
  <c r="A435" i="5" s="1"/>
  <c r="A479" i="5" s="1"/>
  <c r="A523" i="5" s="1"/>
  <c r="A567" i="5" s="1"/>
  <c r="A611" i="5" s="1"/>
  <c r="A655" i="5" s="1"/>
  <c r="A699" i="5" s="1"/>
  <c r="A743" i="5" s="1"/>
  <c r="A787" i="5" s="1"/>
  <c r="A831" i="5" s="1"/>
  <c r="A875" i="5" s="1"/>
  <c r="A919" i="5" s="1"/>
  <c r="A963" i="5" s="1"/>
  <c r="A1007" i="5" s="1"/>
  <c r="A1051" i="5" s="1"/>
  <c r="A1095" i="5" s="1"/>
  <c r="A1139" i="5" s="1"/>
  <c r="A1183" i="5" s="1"/>
  <c r="A1227" i="5" s="1"/>
  <c r="A1271" i="5" s="1"/>
  <c r="A1315" i="5" s="1"/>
  <c r="A1262" i="5"/>
  <c r="A514" i="5"/>
  <c r="A250" i="5"/>
  <c r="A690" i="5"/>
  <c r="A1086" i="5"/>
  <c r="A426" i="5"/>
  <c r="A866" i="5"/>
  <c r="A338" i="5"/>
  <c r="A1218" i="5"/>
  <c r="A734" i="5"/>
  <c r="A1042" i="5"/>
  <c r="A910" i="5"/>
  <c r="N24" i="4"/>
  <c r="J1139" i="5"/>
  <c r="I1143" i="5" s="1"/>
  <c r="J831" i="5"/>
  <c r="G819" i="5" s="1"/>
  <c r="J655" i="5"/>
  <c r="G649" i="5" s="1"/>
  <c r="J435" i="5"/>
  <c r="I439" i="5" s="1"/>
  <c r="J215" i="5"/>
  <c r="G206" i="5" s="1"/>
  <c r="J347" i="5"/>
  <c r="G341" i="5" s="1"/>
  <c r="H11" i="3"/>
  <c r="C11" i="3" s="1"/>
  <c r="H14" i="3"/>
  <c r="E82" i="4" s="1"/>
  <c r="H21" i="3"/>
  <c r="E89" i="4" s="1"/>
  <c r="H23" i="3"/>
  <c r="C23" i="3" s="1"/>
  <c r="J479" i="5"/>
  <c r="G461" i="5" s="1"/>
  <c r="H15" i="3"/>
  <c r="C15" i="3" s="1"/>
  <c r="J259" i="5"/>
  <c r="G250" i="5" s="1"/>
  <c r="G34" i="1"/>
  <c r="G35" i="1" s="1"/>
  <c r="H22" i="3"/>
  <c r="J567" i="5"/>
  <c r="J303" i="5"/>
  <c r="H10" i="3"/>
  <c r="D875" i="5"/>
  <c r="J875" i="5" s="1"/>
  <c r="H28" i="3"/>
  <c r="H20" i="3"/>
  <c r="G813" i="5"/>
  <c r="G822" i="5"/>
  <c r="I835" i="5"/>
  <c r="J611" i="5"/>
  <c r="J1227" i="5"/>
  <c r="H12" i="3"/>
  <c r="J1315" i="5"/>
  <c r="J1051" i="5"/>
  <c r="D787" i="5"/>
  <c r="J787" i="5" s="1"/>
  <c r="H26" i="3"/>
  <c r="H17" i="3"/>
  <c r="I87" i="5"/>
  <c r="G68" i="5"/>
  <c r="G77" i="5"/>
  <c r="G71" i="5"/>
  <c r="G74" i="5"/>
  <c r="I131" i="5"/>
  <c r="G118" i="5"/>
  <c r="G115" i="5"/>
  <c r="G112" i="5"/>
  <c r="J523" i="5"/>
  <c r="H16" i="3"/>
  <c r="H9" i="3"/>
  <c r="H19" i="3"/>
  <c r="J391" i="5"/>
  <c r="H13" i="3"/>
  <c r="J699" i="5"/>
  <c r="J1271" i="5"/>
  <c r="J1007" i="5"/>
  <c r="D743" i="5"/>
  <c r="J743" i="5" s="1"/>
  <c r="H25" i="3"/>
  <c r="J39" i="5"/>
  <c r="J963" i="5"/>
  <c r="J1095" i="5"/>
  <c r="J1183" i="5"/>
  <c r="J919" i="5"/>
  <c r="H27" i="3"/>
  <c r="H18" i="3"/>
  <c r="H24" i="3"/>
  <c r="C39" i="3"/>
  <c r="D29" i="4"/>
  <c r="D31" i="4" s="1"/>
  <c r="D32" i="4" s="1"/>
  <c r="G162" i="5" l="1"/>
  <c r="I175" i="5"/>
  <c r="G429" i="5"/>
  <c r="G165" i="5"/>
  <c r="G156" i="5"/>
  <c r="G153" i="5"/>
  <c r="G338" i="5"/>
  <c r="G329" i="5"/>
  <c r="G109" i="5"/>
  <c r="C14" i="3"/>
  <c r="G1127" i="5"/>
  <c r="G1130" i="5"/>
  <c r="D14" i="3"/>
  <c r="D15" i="3"/>
  <c r="E83" i="4"/>
  <c r="C21" i="3"/>
  <c r="G1121" i="5"/>
  <c r="G1124" i="5"/>
  <c r="G1133" i="5"/>
  <c r="G203" i="5"/>
  <c r="G200" i="5"/>
  <c r="G464" i="5"/>
  <c r="G473" i="5"/>
  <c r="G637" i="5"/>
  <c r="I219" i="5"/>
  <c r="G470" i="5"/>
  <c r="G197" i="5"/>
  <c r="D23" i="3"/>
  <c r="G423" i="5"/>
  <c r="G420" i="5"/>
  <c r="E91" i="4"/>
  <c r="G426" i="5"/>
  <c r="G643" i="5"/>
  <c r="G417" i="5"/>
  <c r="G646" i="5"/>
  <c r="D37" i="4"/>
  <c r="G825" i="5"/>
  <c r="G816" i="5"/>
  <c r="G640" i="5"/>
  <c r="G209" i="5"/>
  <c r="I483" i="5"/>
  <c r="I659" i="5"/>
  <c r="G467" i="5"/>
  <c r="D21" i="3"/>
  <c r="C82" i="3"/>
  <c r="C83" i="3" s="1"/>
  <c r="G241" i="5"/>
  <c r="AH11" i="3"/>
  <c r="AH12" i="3" s="1"/>
  <c r="G253" i="5"/>
  <c r="D11" i="3"/>
  <c r="G244" i="5"/>
  <c r="E79" i="4"/>
  <c r="G247" i="5"/>
  <c r="G335" i="5"/>
  <c r="I351" i="5"/>
  <c r="G332" i="5"/>
  <c r="I263" i="5"/>
  <c r="I1187" i="5"/>
  <c r="G1168" i="5"/>
  <c r="G1177" i="5"/>
  <c r="G1165" i="5"/>
  <c r="G1174" i="5"/>
  <c r="G1171" i="5"/>
  <c r="G27" i="5"/>
  <c r="I43" i="5"/>
  <c r="G24" i="5"/>
  <c r="G30" i="5"/>
  <c r="G33" i="5"/>
  <c r="G21" i="5"/>
  <c r="E81" i="4"/>
  <c r="C13" i="3"/>
  <c r="D13" i="3"/>
  <c r="E85" i="4"/>
  <c r="D17" i="3"/>
  <c r="C17" i="3"/>
  <c r="G1215" i="5"/>
  <c r="G1221" i="5"/>
  <c r="G1209" i="5"/>
  <c r="G1218" i="5"/>
  <c r="G1212" i="5"/>
  <c r="I1231" i="5"/>
  <c r="C28" i="3"/>
  <c r="E96" i="4"/>
  <c r="D28" i="3"/>
  <c r="G1089" i="5"/>
  <c r="G1077" i="5"/>
  <c r="G1086" i="5"/>
  <c r="G1083" i="5"/>
  <c r="G1080" i="5"/>
  <c r="I1099" i="5"/>
  <c r="C25" i="3"/>
  <c r="E93" i="4"/>
  <c r="D25" i="3"/>
  <c r="I395" i="5"/>
  <c r="G376" i="5"/>
  <c r="G382" i="5"/>
  <c r="G373" i="5"/>
  <c r="G385" i="5"/>
  <c r="G379" i="5"/>
  <c r="C26" i="3"/>
  <c r="D26" i="3"/>
  <c r="E94" i="4"/>
  <c r="G599" i="5"/>
  <c r="G605" i="5"/>
  <c r="G593" i="5"/>
  <c r="G602" i="5"/>
  <c r="I615" i="5"/>
  <c r="G596" i="5"/>
  <c r="G866" i="5"/>
  <c r="G863" i="5"/>
  <c r="I879" i="5"/>
  <c r="G860" i="5"/>
  <c r="G869" i="5"/>
  <c r="G857" i="5"/>
  <c r="C24" i="3"/>
  <c r="E92" i="4"/>
  <c r="D24" i="3"/>
  <c r="E88" i="4"/>
  <c r="D20" i="3"/>
  <c r="C20" i="3"/>
  <c r="E78" i="4"/>
  <c r="D10" i="3"/>
  <c r="C10" i="3"/>
  <c r="G951" i="5"/>
  <c r="G957" i="5"/>
  <c r="G945" i="5"/>
  <c r="G954" i="5"/>
  <c r="G948" i="5"/>
  <c r="I967" i="5"/>
  <c r="E87" i="4"/>
  <c r="C19" i="3"/>
  <c r="D19" i="3"/>
  <c r="I791" i="5"/>
  <c r="G772" i="5"/>
  <c r="G781" i="5"/>
  <c r="G769" i="5"/>
  <c r="G778" i="5"/>
  <c r="G775" i="5"/>
  <c r="G39" i="3"/>
  <c r="J39" i="3" s="1"/>
  <c r="E86" i="4"/>
  <c r="D18" i="3"/>
  <c r="C18" i="3"/>
  <c r="I1055" i="5"/>
  <c r="G1036" i="5"/>
  <c r="G1045" i="5"/>
  <c r="G1033" i="5"/>
  <c r="G1042" i="5"/>
  <c r="G1039" i="5"/>
  <c r="G1259" i="5"/>
  <c r="I1275" i="5"/>
  <c r="G1256" i="5"/>
  <c r="G1262" i="5"/>
  <c r="G1253" i="5"/>
  <c r="G1265" i="5"/>
  <c r="I1319" i="5"/>
  <c r="G1300" i="5"/>
  <c r="G1309" i="5"/>
  <c r="G1297" i="5"/>
  <c r="G1306" i="5"/>
  <c r="G1303" i="5"/>
  <c r="I571" i="5"/>
  <c r="G552" i="5"/>
  <c r="G561" i="5"/>
  <c r="G549" i="5"/>
  <c r="G558" i="5"/>
  <c r="G555" i="5"/>
  <c r="G731" i="5"/>
  <c r="I747" i="5"/>
  <c r="G728" i="5"/>
  <c r="G734" i="5"/>
  <c r="G725" i="5"/>
  <c r="G737" i="5"/>
  <c r="G995" i="5"/>
  <c r="I1011" i="5"/>
  <c r="G992" i="5"/>
  <c r="G998" i="5"/>
  <c r="G989" i="5"/>
  <c r="G1001" i="5"/>
  <c r="C9" i="3"/>
  <c r="E77" i="4"/>
  <c r="D9" i="3"/>
  <c r="I307" i="5"/>
  <c r="G288" i="5"/>
  <c r="G297" i="5"/>
  <c r="G285" i="5"/>
  <c r="G294" i="5"/>
  <c r="G291" i="5"/>
  <c r="C27" i="3"/>
  <c r="E95" i="4"/>
  <c r="D27" i="3"/>
  <c r="E84" i="4"/>
  <c r="D16" i="3"/>
  <c r="C16" i="3"/>
  <c r="I923" i="5"/>
  <c r="G904" i="5"/>
  <c r="G913" i="5"/>
  <c r="G901" i="5"/>
  <c r="G910" i="5"/>
  <c r="G907" i="5"/>
  <c r="G687" i="5"/>
  <c r="G693" i="5"/>
  <c r="G681" i="5"/>
  <c r="G690" i="5"/>
  <c r="G684" i="5"/>
  <c r="I703" i="5"/>
  <c r="G511" i="5"/>
  <c r="I527" i="5"/>
  <c r="G508" i="5"/>
  <c r="G517" i="5"/>
  <c r="G514" i="5"/>
  <c r="G505" i="5"/>
  <c r="E80" i="4"/>
  <c r="D12" i="3"/>
  <c r="C12" i="3"/>
  <c r="E90" i="4"/>
  <c r="D22" i="3"/>
  <c r="C22" i="3"/>
  <c r="F95" i="4" l="1"/>
  <c r="F94" i="4"/>
  <c r="F85" i="4"/>
  <c r="F91" i="4"/>
  <c r="F96" i="4"/>
  <c r="F88" i="4"/>
  <c r="F92" i="4"/>
  <c r="F93" i="4"/>
  <c r="F90" i="4"/>
  <c r="F78" i="4"/>
  <c r="F86" i="4"/>
  <c r="F77" i="4"/>
  <c r="F80" i="4"/>
  <c r="F81" i="4"/>
  <c r="F79" i="4"/>
  <c r="F83" i="4"/>
  <c r="F82" i="4"/>
  <c r="F89" i="4"/>
  <c r="F84" i="4"/>
  <c r="F87" i="4"/>
  <c r="AH13" i="3"/>
  <c r="C84" i="3"/>
  <c r="C85" i="3" s="1"/>
  <c r="AH14" i="3" l="1"/>
  <c r="C86" i="3"/>
  <c r="AH15" i="3" l="1"/>
  <c r="AH16" i="3" s="1"/>
  <c r="C87" i="3"/>
  <c r="AI11" i="3" l="1"/>
  <c r="D82" i="3"/>
  <c r="AI12" i="3"/>
  <c r="D83" i="3"/>
  <c r="D85" i="3"/>
  <c r="D84" i="3"/>
  <c r="AI13" i="3"/>
  <c r="D86" i="3"/>
  <c r="AI14" i="3"/>
  <c r="AI15" i="3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(00.00.00~00.00.00)
</t>
        </r>
        <r>
          <rPr>
            <b/>
            <sz val="9"/>
            <color indexed="81"/>
            <rFont val="돋움"/>
            <family val="3"/>
            <charset val="129"/>
          </rPr>
          <t>기간표시방법</t>
        </r>
      </text>
    </comment>
  </commentList>
</comments>
</file>

<file path=xl/comments2.xml><?xml version="1.0" encoding="utf-8"?>
<comments xmlns="http://schemas.openxmlformats.org/spreadsheetml/2006/main">
  <authors>
    <author>user</author>
    <author>Windows 사용자</author>
  </authors>
  <commentList>
    <comment ref="D2" authorId="0" shapeId="0">
      <text>
        <r>
          <rPr>
            <b/>
            <sz val="12"/>
            <color indexed="81"/>
            <rFont val="돋움"/>
            <family val="3"/>
            <charset val="129"/>
          </rPr>
          <t>녹색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손대지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마세요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자동</t>
        </r>
      </text>
    </comment>
    <comment ref="C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빈칸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삭제하지마세요</t>
        </r>
      </text>
    </comment>
    <comment ref="D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행정으로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명단요청하시면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엑셀로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보내드립니다</t>
        </r>
        <r>
          <rPr>
            <b/>
            <sz val="12"/>
            <color indexed="81"/>
            <rFont val="Tahoma"/>
            <family val="2"/>
          </rPr>
          <t>.</t>
        </r>
      </text>
    </comment>
    <comment ref="F5" authorId="1" shapeId="0">
      <text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/</t>
        </r>
        <r>
          <rPr>
            <b/>
            <sz val="12"/>
            <color indexed="81"/>
            <rFont val="돋움"/>
            <family val="3"/>
            <charset val="129"/>
          </rPr>
          <t>재적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관려한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일자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및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사유기재
사유명</t>
        </r>
        <r>
          <rPr>
            <b/>
            <sz val="12"/>
            <color indexed="81"/>
            <rFont val="Tahoma"/>
            <family val="2"/>
          </rPr>
          <t>: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, </t>
        </r>
        <r>
          <rPr>
            <b/>
            <sz val="12"/>
            <color indexed="81"/>
            <rFont val="돋움"/>
            <family val="3"/>
            <charset val="129"/>
          </rPr>
          <t>취업
예</t>
        </r>
        <r>
          <rPr>
            <b/>
            <sz val="12"/>
            <color indexed="81"/>
            <rFont val="Tahoma"/>
            <family val="2"/>
          </rPr>
          <t xml:space="preserve">) 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(1/21)
</t>
        </r>
        <r>
          <rPr>
            <b/>
            <sz val="12"/>
            <color indexed="81"/>
            <rFont val="돋움"/>
            <family val="3"/>
            <charset val="129"/>
          </rPr>
          <t>연이은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결석후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중탈일경우는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최초결석일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기재
예</t>
        </r>
        <r>
          <rPr>
            <b/>
            <sz val="12"/>
            <color indexed="81"/>
            <rFont val="Tahoma"/>
            <family val="2"/>
          </rPr>
          <t>)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(</t>
        </r>
        <r>
          <rPr>
            <b/>
            <sz val="12"/>
            <color indexed="81"/>
            <rFont val="돋움"/>
            <family val="3"/>
            <charset val="129"/>
          </rPr>
          <t>장기결석</t>
        </r>
        <r>
          <rPr>
            <b/>
            <sz val="12"/>
            <color indexed="81"/>
            <rFont val="Tahoma"/>
            <family val="2"/>
          </rPr>
          <t>1/21)</t>
        </r>
        <r>
          <rPr>
            <b/>
            <sz val="12"/>
            <color indexed="81"/>
            <rFont val="돋움"/>
            <family val="3"/>
            <charset val="129"/>
          </rPr>
          <t xml:space="preserve">
중탈이라고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
30</t>
        </r>
        <r>
          <rPr>
            <b/>
            <sz val="12"/>
            <color indexed="81"/>
            <rFont val="돋움"/>
            <family val="3"/>
            <charset val="129"/>
          </rPr>
          <t>명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작업으로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되어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있으니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Code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
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들어오게되어있습니다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순서에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작성하시면
능단별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성적표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만드실때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연번을
기입하시면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" authorId="0" shapeId="0">
      <text>
        <r>
          <rPr>
            <b/>
            <sz val="9"/>
            <color indexed="81"/>
            <rFont val="돋움"/>
            <family val="3"/>
            <charset val="129"/>
          </rPr>
          <t>평가제외대상표시방법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지우지마시고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이름셀에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넣으시면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중탈자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홈탭에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아래화살누르시면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명칭</t>
        </r>
        <r>
          <rPr>
            <b/>
            <sz val="9"/>
            <color indexed="81"/>
            <rFont val="Tahoma"/>
            <family val="2"/>
          </rPr>
          <t>-&gt;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</t>
        </r>
        <r>
          <rPr>
            <b/>
            <sz val="9"/>
            <color indexed="81"/>
            <rFont val="Tahoma"/>
            <family val="2"/>
          </rPr>
          <t xml:space="preserve">1 25% </t>
        </r>
        <r>
          <rPr>
            <b/>
            <sz val="9"/>
            <color indexed="81"/>
            <rFont val="돋움"/>
            <family val="3"/>
            <charset val="129"/>
          </rPr>
          <t>더어둡게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색상으로
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
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왼쪽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밑에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가운데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회색임</t>
        </r>
      </text>
    </comment>
    <comment ref="F1" authorId="0" shapeId="0">
      <text>
        <r>
          <rPr>
            <b/>
            <sz val="9"/>
            <color indexed="10"/>
            <rFont val="맑은 고딕"/>
            <family val="3"/>
            <charset val="129"/>
          </rPr>
          <t>노랑색 부분 숫자 입력 하셔요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J3" authorId="0" shapeId="0">
      <text>
        <r>
          <rPr>
            <b/>
            <sz val="9"/>
            <color indexed="81"/>
            <rFont val="돋움"/>
            <family val="3"/>
            <charset val="129"/>
          </rPr>
          <t>결과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하셔요
그러면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갑니다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맑은 고딕"/>
            <family val="3"/>
            <charset val="129"/>
          </rPr>
          <t>재적 또는 취업 훈련생 
삭제하지마시기 바랍니다.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 xml:space="preserve">% </t>
        </r>
        <r>
          <rPr>
            <b/>
            <sz val="9"/>
            <color indexed="81"/>
            <rFont val="돋움"/>
            <family val="3"/>
            <charset val="129"/>
          </rPr>
          <t>조정</t>
        </r>
        <r>
          <rPr>
            <b/>
            <sz val="9"/>
            <color indexed="81"/>
            <rFont val="Tahoma"/>
            <family val="2"/>
          </rPr>
          <t xml:space="preserve"> / </t>
        </r>
        <r>
          <rPr>
            <b/>
            <sz val="9"/>
            <color indexed="81"/>
            <rFont val="돋움"/>
            <family val="3"/>
            <charset val="129"/>
          </rPr>
          <t>평가유형도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확인하는거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잊지마셔요
제발
나머지는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마세요
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자동입니다
점수계산시트만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손대세여</t>
        </r>
      </text>
    </comment>
  </commentList>
</comments>
</file>

<file path=xl/comments5.xml><?xml version="1.0" encoding="utf-8"?>
<comments xmlns="http://schemas.openxmlformats.org/spreadsheetml/2006/main">
  <authors>
    <author>DG05</author>
    <author>Windows 사용자</author>
    <author>ChanWoo Bae</author>
  </authors>
  <commentList>
    <comment ref="A7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과정정보 전체 손대지 마세요</t>
        </r>
      </text>
    </comment>
    <comment ref="A20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시험위원 전체 손대지 마세요</t>
        </r>
      </text>
    </comment>
    <comment ref="H28" authorId="1" shapeId="0">
      <text>
        <r>
          <rPr>
            <b/>
            <sz val="11"/>
            <color indexed="14"/>
            <rFont val="맑은 고딕"/>
            <family val="3"/>
            <charset val="129"/>
          </rPr>
          <t>불참시 사유 명확히 써
주세여~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0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평가대상/불참</t>
        </r>
      </text>
    </comment>
    <comment ref="D33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평가대상/점수60미만</t>
        </r>
      </text>
    </comment>
    <comment ref="D69" authorId="0" shapeId="0">
      <text>
        <r>
          <rPr>
            <b/>
            <sz val="15"/>
            <color indexed="81"/>
            <rFont val="돋움"/>
            <family val="3"/>
            <charset val="129"/>
          </rPr>
          <t xml:space="preserve">직접입력
교육훈련을 하면서 훈련생 전체의 성취도 교육훈련 선생님 차시 및 다음교육에 활용 및 주안점 작성 </t>
        </r>
      </text>
    </comment>
    <comment ref="F76" authorId="0" shapeId="0">
      <text>
        <r>
          <rPr>
            <b/>
            <sz val="11"/>
            <color indexed="81"/>
            <rFont val="돋움"/>
            <family val="3"/>
            <charset val="129"/>
          </rPr>
          <t>성명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생년월일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득점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 xml:space="preserve">순위
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분석</t>
        </r>
        <r>
          <rPr>
            <b/>
            <sz val="11"/>
            <color indexed="81"/>
            <rFont val="Tahoma"/>
            <family val="2"/>
          </rPr>
          <t xml:space="preserve">  </t>
        </r>
        <r>
          <rPr>
            <b/>
            <sz val="11"/>
            <color indexed="81"/>
            <rFont val="돋움"/>
            <family val="3"/>
            <charset val="129"/>
          </rPr>
          <t>손대지마세여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DG05</author>
  </authors>
  <commentList>
    <comment ref="M1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여기는 손대지마세요
출력만하면됨</t>
        </r>
      </text>
    </comment>
  </commentList>
</comments>
</file>

<file path=xl/sharedStrings.xml><?xml version="1.0" encoding="utf-8"?>
<sst xmlns="http://schemas.openxmlformats.org/spreadsheetml/2006/main" count="1820" uniqueCount="246">
  <si>
    <t>훈련생명단</t>
    <phoneticPr fontId="2" type="noConversion"/>
  </si>
  <si>
    <t>연번</t>
    <phoneticPr fontId="2" type="noConversion"/>
  </si>
  <si>
    <t>성명</t>
    <phoneticPr fontId="2" type="noConversion"/>
  </si>
  <si>
    <t>생년월일-성별</t>
    <phoneticPr fontId="2" type="noConversion"/>
  </si>
  <si>
    <t>훈련생유형</t>
    <phoneticPr fontId="2" type="noConversion"/>
  </si>
  <si>
    <t>특이사항</t>
    <phoneticPr fontId="2" type="noConversion"/>
  </si>
  <si>
    <t>기준점수</t>
    <phoneticPr fontId="2" type="noConversion"/>
  </si>
  <si>
    <t>연번</t>
  </si>
  <si>
    <t>이름</t>
    <phoneticPr fontId="2" type="noConversion"/>
  </si>
  <si>
    <t>총점</t>
    <phoneticPr fontId="2" type="noConversion"/>
  </si>
  <si>
    <t>Pass/Fail</t>
    <phoneticPr fontId="2" type="noConversion"/>
  </si>
  <si>
    <t>비고</t>
    <phoneticPr fontId="2" type="noConversion"/>
  </si>
  <si>
    <t>결과</t>
    <phoneticPr fontId="2" type="noConversion"/>
  </si>
  <si>
    <t>조취</t>
    <phoneticPr fontId="2" type="noConversion"/>
  </si>
  <si>
    <t>환산 점수</t>
    <phoneticPr fontId="2" type="noConversion"/>
  </si>
  <si>
    <t>전체 훈련생 평가 채점표</t>
    <phoneticPr fontId="2" type="noConversion"/>
  </si>
  <si>
    <t>년도</t>
    <phoneticPr fontId="2" type="noConversion"/>
  </si>
  <si>
    <t>과정명</t>
    <phoneticPr fontId="2" type="noConversion"/>
  </si>
  <si>
    <t>훈련기간</t>
    <phoneticPr fontId="2" type="noConversion"/>
  </si>
  <si>
    <t>총훈련시간</t>
  </si>
  <si>
    <t>교과목</t>
    <phoneticPr fontId="2" type="noConversion"/>
  </si>
  <si>
    <t>단위기간</t>
    <phoneticPr fontId="2" type="noConversion"/>
  </si>
  <si>
    <t>기준시간</t>
    <phoneticPr fontId="2" type="noConversion"/>
  </si>
  <si>
    <t>능력단위명</t>
    <phoneticPr fontId="2" type="noConversion"/>
  </si>
  <si>
    <t>훈련교사</t>
    <phoneticPr fontId="2" type="noConversion"/>
  </si>
  <si>
    <t>(인)</t>
    <phoneticPr fontId="2" type="noConversion"/>
  </si>
  <si>
    <t>성 명</t>
  </si>
  <si>
    <t>평가 유형</t>
  </si>
  <si>
    <t>성취 수준
(5/4/3/2/1)</t>
    <phoneticPr fontId="2" type="noConversion"/>
  </si>
  <si>
    <t>합계</t>
  </si>
  <si>
    <t>No</t>
    <phoneticPr fontId="2" type="noConversion"/>
  </si>
  <si>
    <t>점수</t>
    <phoneticPr fontId="2" type="noConversion"/>
  </si>
  <si>
    <t>인원</t>
    <phoneticPr fontId="2" type="noConversion"/>
  </si>
  <si>
    <t>분포도</t>
    <phoneticPr fontId="2" type="noConversion"/>
  </si>
  <si>
    <t>90점대</t>
    <phoneticPr fontId="2" type="noConversion"/>
  </si>
  <si>
    <t>80점대</t>
    <phoneticPr fontId="2" type="noConversion"/>
  </si>
  <si>
    <t>70점대</t>
    <phoneticPr fontId="2" type="noConversion"/>
  </si>
  <si>
    <t>60점대</t>
    <phoneticPr fontId="2" type="noConversion"/>
  </si>
  <si>
    <t>60점미만</t>
    <phoneticPr fontId="2" type="noConversion"/>
  </si>
  <si>
    <t>총인원</t>
    <phoneticPr fontId="2" type="noConversion"/>
  </si>
  <si>
    <t>-</t>
    <phoneticPr fontId="2" type="noConversion"/>
  </si>
  <si>
    <t>훈련생수</t>
    <phoneticPr fontId="2" type="noConversion"/>
  </si>
  <si>
    <t>합계</t>
    <phoneticPr fontId="2" type="noConversion"/>
  </si>
  <si>
    <t>평균</t>
    <phoneticPr fontId="2" type="noConversion"/>
  </si>
  <si>
    <t xml:space="preserve">  </t>
  </si>
  <si>
    <t>※비고</t>
    <phoneticPr fontId="2" type="noConversion"/>
  </si>
  <si>
    <t>보고일:</t>
    <phoneticPr fontId="2" type="noConversion"/>
  </si>
  <si>
    <t>1.과정정보</t>
    <phoneticPr fontId="2" type="noConversion"/>
  </si>
  <si>
    <t>과
정</t>
    <phoneticPr fontId="2" type="noConversion"/>
  </si>
  <si>
    <t>훈련구분</t>
    <phoneticPr fontId="2" type="noConversion"/>
  </si>
  <si>
    <t>훈련과정명</t>
    <phoneticPr fontId="2" type="noConversion"/>
  </si>
  <si>
    <t>분류</t>
    <phoneticPr fontId="2" type="noConversion"/>
  </si>
  <si>
    <t>평가
능력
단위</t>
    <phoneticPr fontId="2" type="noConversion"/>
  </si>
  <si>
    <t>훈련시간</t>
    <phoneticPr fontId="2" type="noConversion"/>
  </si>
  <si>
    <t>평가방법</t>
    <phoneticPr fontId="2" type="noConversion"/>
  </si>
  <si>
    <t>평가장소</t>
    <phoneticPr fontId="2" type="noConversion"/>
  </si>
  <si>
    <t>평 가 일</t>
    <phoneticPr fontId="2" type="noConversion"/>
  </si>
  <si>
    <t>2.시험위원</t>
    <phoneticPr fontId="2" type="noConversion"/>
  </si>
  <si>
    <t>출제위원</t>
    <phoneticPr fontId="2" type="noConversion"/>
  </si>
  <si>
    <t>시험위원</t>
    <phoneticPr fontId="2" type="noConversion"/>
  </si>
  <si>
    <t>소속</t>
    <phoneticPr fontId="2" type="noConversion"/>
  </si>
  <si>
    <t>직위</t>
    <phoneticPr fontId="2" type="noConversion"/>
  </si>
  <si>
    <t>3.평가일 참여 현황</t>
    <phoneticPr fontId="2" type="noConversion"/>
  </si>
  <si>
    <t>현황</t>
    <phoneticPr fontId="2" type="noConversion"/>
  </si>
  <si>
    <t>기타</t>
    <phoneticPr fontId="2" type="noConversion"/>
  </si>
  <si>
    <t>평가대상</t>
    <phoneticPr fontId="2" type="noConversion"/>
  </si>
  <si>
    <t>불참인원</t>
    <phoneticPr fontId="2" type="noConversion"/>
  </si>
  <si>
    <t>응시자</t>
    <phoneticPr fontId="2" type="noConversion"/>
  </si>
  <si>
    <t>이수자</t>
    <phoneticPr fontId="2" type="noConversion"/>
  </si>
  <si>
    <t>1차 재평가대상</t>
    <phoneticPr fontId="2" type="noConversion"/>
  </si>
  <si>
    <t>4. 평가결과 및 강평</t>
    <phoneticPr fontId="2" type="noConversion"/>
  </si>
  <si>
    <t>능력단위평균</t>
    <phoneticPr fontId="2" type="noConversion"/>
  </si>
  <si>
    <t>점수분포</t>
    <phoneticPr fontId="2" type="noConversion"/>
  </si>
  <si>
    <t>능력단위
훈련생별
점     수</t>
    <phoneticPr fontId="2" type="noConversion"/>
  </si>
  <si>
    <t>5. 개인별 평가현황</t>
    <phoneticPr fontId="2" type="noConversion"/>
  </si>
  <si>
    <t>생년월일</t>
    <phoneticPr fontId="2" type="noConversion"/>
  </si>
  <si>
    <t>득점</t>
    <phoneticPr fontId="2" type="noConversion"/>
  </si>
  <si>
    <t>순위</t>
    <phoneticPr fontId="2" type="noConversion"/>
  </si>
  <si>
    <t>총훈련시간</t>
    <phoneticPr fontId="2" type="noConversion"/>
  </si>
  <si>
    <t>평가훈련생</t>
    <phoneticPr fontId="2" type="noConversion"/>
  </si>
  <si>
    <t>출석일수</t>
    <phoneticPr fontId="2" type="noConversion"/>
  </si>
  <si>
    <t>출석률(%)</t>
    <phoneticPr fontId="2" type="noConversion"/>
  </si>
  <si>
    <t>학습자 명:</t>
    <phoneticPr fontId="2" type="noConversion"/>
  </si>
  <si>
    <t xml:space="preserve">평가자 명: </t>
    <phoneticPr fontId="2" type="noConversion"/>
  </si>
  <si>
    <t>평 가 일 시</t>
    <phoneticPr fontId="2" type="noConversion"/>
  </si>
  <si>
    <t>1차</t>
    <phoneticPr fontId="2" type="noConversion"/>
  </si>
  <si>
    <t xml:space="preserve">(인) </t>
    <phoneticPr fontId="2" type="noConversion"/>
  </si>
  <si>
    <t xml:space="preserve">교과목명 : </t>
    <phoneticPr fontId="2" type="noConversion"/>
  </si>
  <si>
    <t>2차</t>
    <phoneticPr fontId="2" type="noConversion"/>
  </si>
  <si>
    <t>3차</t>
    <phoneticPr fontId="2" type="noConversion"/>
  </si>
  <si>
    <t>평가방법 :</t>
    <phoneticPr fontId="2" type="noConversion"/>
  </si>
  <si>
    <t>전체평가(고정내용으로서 임의 변경 불가)</t>
    <phoneticPr fontId="2" type="noConversion"/>
  </si>
  <si>
    <t>성취수준</t>
    <phoneticPr fontId="2" type="noConversion"/>
  </si>
  <si>
    <t>수행정도</t>
    <phoneticPr fontId="2" type="noConversion"/>
  </si>
  <si>
    <t>5. 해당 지식과 기술을 확실하게 습득하여 직무수행에 필요한 기술적 사고력과 문제 해결력을 토대로 주도적으로 완벽한 작업을 수행할 수 있다.</t>
    <phoneticPr fontId="2" type="noConversion"/>
  </si>
  <si>
    <t>4. 해당 지식과 기술을 습득하여 직무수행에 필요한 기술적 사고력과 문제 해결력을 토대로 작업을 수행할 수 있다.</t>
    <phoneticPr fontId="2" type="noConversion"/>
  </si>
  <si>
    <t>3. 해당 지식과 기술을 대부분 습득하여 직무수행에 필요한 지식과 기술을 가지고 대부분의 작업을 수행할 수 있다.</t>
    <phoneticPr fontId="2" type="noConversion"/>
  </si>
  <si>
    <t>2. 해당 지식과 기술을 부분적으로 습득하여 직무수행에 필요한 지식과 기술을 가지고 타인과 공동으로 작업을 수행할 수 있다.</t>
    <phoneticPr fontId="2" type="noConversion"/>
  </si>
  <si>
    <t>1.해당 지식과 기술을 습득하는데 부족함이 있어 타인의 도움을 받아야만 작업을 수행할 수 있다.</t>
    <phoneticPr fontId="2" type="noConversion"/>
  </si>
  <si>
    <t>평가자는 학습자의 달성정도를 성취수준에 표시한다.</t>
    <phoneticPr fontId="2" type="noConversion"/>
  </si>
  <si>
    <t>* 성취 수준 기준 (NCS기반 훈련과정 편성 매뉴얼 활용)</t>
    <phoneticPr fontId="2" type="noConversion"/>
  </si>
  <si>
    <t>100~90점 : 5</t>
    <phoneticPr fontId="2" type="noConversion"/>
  </si>
  <si>
    <t>89~80점 : 4</t>
    <phoneticPr fontId="2" type="noConversion"/>
  </si>
  <si>
    <t>점</t>
    <phoneticPr fontId="2" type="noConversion"/>
  </si>
  <si>
    <t>79~70점 : 3</t>
    <phoneticPr fontId="2" type="noConversion"/>
  </si>
  <si>
    <t>69~60점 : 2</t>
    <phoneticPr fontId="2" type="noConversion"/>
  </si>
  <si>
    <t>59점이하 (재평가)</t>
    <phoneticPr fontId="2" type="noConversion"/>
  </si>
  <si>
    <t>능력단위(분류번호_능단명)</t>
    <phoneticPr fontId="2" type="noConversion"/>
  </si>
  <si>
    <t>평가일</t>
    <phoneticPr fontId="2" type="noConversion"/>
  </si>
  <si>
    <t>그린컴퓨터아카데미</t>
  </si>
  <si>
    <t>total</t>
    <phoneticPr fontId="2" type="noConversion"/>
  </si>
  <si>
    <t>기준일수</t>
    <phoneticPr fontId="2" type="noConversion"/>
  </si>
  <si>
    <t>능단출석률</t>
    <phoneticPr fontId="2" type="noConversion"/>
  </si>
  <si>
    <t>-</t>
    <phoneticPr fontId="2" type="noConversion"/>
  </si>
  <si>
    <t>종합의견</t>
    <phoneticPr fontId="2" type="noConversion"/>
  </si>
  <si>
    <t>평가결과 분석 및 피드백 내용</t>
    <phoneticPr fontId="2" type="noConversion"/>
  </si>
  <si>
    <t>코드</t>
    <phoneticPr fontId="2" type="noConversion"/>
  </si>
  <si>
    <t>&lt;-이부분 필요시 사용</t>
    <phoneticPr fontId="2" type="noConversion"/>
  </si>
  <si>
    <t>교수 평가(총합)
별도첨부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</si>
  <si>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</si>
  <si>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</si>
  <si>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</si>
  <si>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평가방법1</t>
    <phoneticPr fontId="2" type="noConversion"/>
  </si>
  <si>
    <t>평가방법2</t>
    <phoneticPr fontId="2" type="noConversion"/>
  </si>
  <si>
    <t>평균</t>
    <phoneticPr fontId="2" type="noConversion"/>
  </si>
  <si>
    <t>총점</t>
  </si>
  <si>
    <t xml:space="preserve">본 평가는 단계별 자기평가의 학습과정이 완료된 학습자에 대하여 평가를 합니다.
학습을 위한 준비에서부터 실습의 완료 후 동작확인까지 아래사항의 수행기준에 근거하여 학습자를 평가하여야 합니다.
(본 능력단위의 평가방법 등을 안내하여 학습자로 하여금 학습준비를 할 수 있도록 함)
</t>
    <phoneticPr fontId="2" type="noConversion"/>
  </si>
  <si>
    <t>[0000000000_00v0]</t>
    <phoneticPr fontId="2" type="noConversion"/>
  </si>
  <si>
    <t>10.23 이소희 장기결석 수강포기 날자 11/03</t>
    <phoneticPr fontId="2" type="noConversion"/>
  </si>
  <si>
    <t>비NCS,직업기초코드는 위에꺼로 사용/코드 통합심사 그대로 사용 하세요</t>
    <phoneticPr fontId="2" type="noConversion"/>
  </si>
  <si>
    <t>평가제외대상</t>
    <phoneticPr fontId="2" type="noConversion"/>
  </si>
  <si>
    <t>회색셀 더블클릭후 엔터하시면 적용되어짐</t>
    <phoneticPr fontId="2" type="noConversion"/>
  </si>
  <si>
    <t>Code</t>
    <phoneticPr fontId="2" type="noConversion"/>
  </si>
  <si>
    <t>통합신청 신청정보와 시간표</t>
    <phoneticPr fontId="2" type="noConversion"/>
  </si>
  <si>
    <t>활용하시기 바랍니다.</t>
    <phoneticPr fontId="2" type="noConversion"/>
  </si>
  <si>
    <t>셀병합하시면 안됩니다.</t>
    <phoneticPr fontId="2" type="noConversion"/>
  </si>
  <si>
    <t>평가비중</t>
    <phoneticPr fontId="2" type="noConversion"/>
  </si>
  <si>
    <t>문항수(선다,서술만)</t>
    <phoneticPr fontId="2" type="noConversion"/>
  </si>
  <si>
    <t>훈련교재</t>
    <phoneticPr fontId="2" type="noConversion"/>
  </si>
  <si>
    <t>실업자(국기)</t>
    <phoneticPr fontId="2" type="noConversion"/>
  </si>
  <si>
    <t>[디지털디자인]반응형 웹디자인(UIUX) &amp; 웹퍼블리셔 디지털 실무 양성과정 A-5</t>
    <phoneticPr fontId="2" type="noConversion"/>
  </si>
  <si>
    <t>21.08.31 ~ 22.02.07</t>
    <phoneticPr fontId="2" type="noConversion"/>
  </si>
  <si>
    <t>760H</t>
    <phoneticPr fontId="2" type="noConversion"/>
  </si>
  <si>
    <t>디자인 리서치 및 비주얼 아이데이션</t>
    <phoneticPr fontId="2" type="noConversion"/>
  </si>
  <si>
    <t>[08020101]시각디자인</t>
    <phoneticPr fontId="2" type="noConversion"/>
  </si>
  <si>
    <t>[0802010112_16v3]  시각디자인리서치조사</t>
    <phoneticPr fontId="2" type="noConversion"/>
  </si>
  <si>
    <t>21.08.31~21.09.02</t>
  </si>
  <si>
    <t>박미영</t>
    <phoneticPr fontId="2" type="noConversion"/>
  </si>
  <si>
    <t>기타(작업형)</t>
  </si>
  <si>
    <t>1002호</t>
    <phoneticPr fontId="2" type="noConversion"/>
  </si>
  <si>
    <t>[0802010113_16v3]  시각디자인리서치분석</t>
    <phoneticPr fontId="2" type="noConversion"/>
  </si>
  <si>
    <t>21.09.02~21.09.07</t>
  </si>
  <si>
    <t>[0802010116_16v3]  비주얼아이데이션구상</t>
    <phoneticPr fontId="2" type="noConversion"/>
  </si>
  <si>
    <t>21.09.07~21.09.09</t>
  </si>
  <si>
    <t>[0802010117_16v3]  비주얼아이데이션전개</t>
    <phoneticPr fontId="2" type="noConversion"/>
  </si>
  <si>
    <t>21.09.09~21.09.15</t>
  </si>
  <si>
    <t>포트폴리오</t>
  </si>
  <si>
    <t>스타일가이드제작 및 시안디자인 제작1</t>
    <phoneticPr fontId="2" type="noConversion"/>
  </si>
  <si>
    <t>[0802010121_16v2]  시안디자인개발심화</t>
    <phoneticPr fontId="2" type="noConversion"/>
  </si>
  <si>
    <t>21.09.15~21.09.24</t>
  </si>
  <si>
    <t>서비스.경험 디자인 조사 및 시나리오 개발</t>
    <phoneticPr fontId="2" type="noConversion"/>
  </si>
  <si>
    <t>[08020106]서비스.경험디자인</t>
    <phoneticPr fontId="2" type="noConversion"/>
  </si>
  <si>
    <t>[0802010613_17v3]  서비스․경험디자인관찰조사</t>
    <phoneticPr fontId="2" type="noConversion"/>
  </si>
  <si>
    <t>21.09.24~21.10.01</t>
  </si>
  <si>
    <t>[0802010619_17v3]  서비스․경험디자인시나리오개발</t>
    <phoneticPr fontId="2" type="noConversion"/>
  </si>
  <si>
    <t>21.10.01~21.10.12</t>
  </si>
  <si>
    <t>네비게이션, 구성요소 설계,제작,응용1</t>
    <phoneticPr fontId="2" type="noConversion"/>
  </si>
  <si>
    <t>[08020104]디지털디자인</t>
    <phoneticPr fontId="2" type="noConversion"/>
  </si>
  <si>
    <t>[0802010415_16v2]  디자인구성요소설계</t>
    <phoneticPr fontId="2" type="noConversion"/>
  </si>
  <si>
    <t>21.10.12~21.10.20</t>
  </si>
  <si>
    <t>이창훈</t>
    <phoneticPr fontId="2" type="noConversion"/>
  </si>
  <si>
    <t>[08020104]디지털디자인</t>
  </si>
  <si>
    <t>[0802010416_16v2]  디자인구성요소제작</t>
    <phoneticPr fontId="2" type="noConversion"/>
  </si>
  <si>
    <t>21.10.20~21.11.02</t>
  </si>
  <si>
    <t>[0802010417_16v2]  디자인구성요소응용</t>
    <phoneticPr fontId="2" type="noConversion"/>
  </si>
  <si>
    <t>21.11.02~21.11.11</t>
  </si>
  <si>
    <t>스타일가이드제작 및 시안디자인 제작2</t>
    <phoneticPr fontId="2" type="noConversion"/>
  </si>
  <si>
    <t>[08030209]스마트문화앱콘텐츠제작</t>
    <phoneticPr fontId="2" type="noConversion"/>
  </si>
  <si>
    <t>[0803020911_18v3]  스마트문화앱UX설계</t>
    <phoneticPr fontId="2" type="noConversion"/>
  </si>
  <si>
    <t>21.11.11~21.11.24</t>
  </si>
  <si>
    <t>네비게이션, 구성요소 설계,제작,응용2</t>
    <phoneticPr fontId="2" type="noConversion"/>
  </si>
  <si>
    <t>[0803020912_18v3]  스마트문화앱UI디자인</t>
    <phoneticPr fontId="2" type="noConversion"/>
  </si>
  <si>
    <t>21.11.24~21.12.07</t>
  </si>
  <si>
    <t>프로토타입제작</t>
    <phoneticPr fontId="2" type="noConversion"/>
  </si>
  <si>
    <t>[0802010413_16v2]  프로토타입기초데이터수집및스케치</t>
    <phoneticPr fontId="2" type="noConversion"/>
  </si>
  <si>
    <t>21.12.07~21.12.10</t>
  </si>
  <si>
    <t>[0802010414_16v2]  프로토타입제작및사용성테스트</t>
    <phoneticPr fontId="2" type="noConversion"/>
  </si>
  <si>
    <t>21.12.10~21.12.15</t>
  </si>
  <si>
    <t>프로젝트 완료 및 사후관리</t>
    <phoneticPr fontId="2" type="noConversion"/>
  </si>
  <si>
    <t>[0802010408_13v1]  디지털디자인사후관리</t>
    <phoneticPr fontId="2" type="noConversion"/>
  </si>
  <si>
    <t>21.12.16~21.12.23</t>
  </si>
  <si>
    <t>[0802010420_16v3]  프로젝트완료자료정리</t>
    <phoneticPr fontId="2" type="noConversion"/>
  </si>
  <si>
    <t>21.12.23~21.12.29</t>
  </si>
  <si>
    <t>[0802010421_16v3]  프로젝트완료결과보고서작성</t>
    <phoneticPr fontId="2" type="noConversion"/>
  </si>
  <si>
    <t>21.12.30~22.01.04</t>
  </si>
  <si>
    <t>[0802010422_16v3]  프로젝트완료최종보고</t>
    <phoneticPr fontId="2" type="noConversion"/>
  </si>
  <si>
    <t>22.01.05~22.01.06</t>
  </si>
  <si>
    <t>반응형 웹퍼블리셔</t>
    <phoneticPr fontId="2" type="noConversion"/>
  </si>
  <si>
    <t>비NCS 교과(실기)</t>
    <phoneticPr fontId="2" type="noConversion"/>
  </si>
  <si>
    <t>반응형웹기본개념및가변그리드</t>
  </si>
  <si>
    <t>22.01.07~22.01.12</t>
  </si>
  <si>
    <t>메인페이지,서브페이지작업</t>
  </si>
  <si>
    <t>22.01.13~22.01.26</t>
  </si>
  <si>
    <t>CSS분리,수정보완</t>
  </si>
  <si>
    <t>22.01.27~22.02.04</t>
  </si>
  <si>
    <t>강민재</t>
  </si>
  <si>
    <t>970904-1</t>
  </si>
  <si>
    <t>실업자</t>
    <phoneticPr fontId="2" type="noConversion"/>
  </si>
  <si>
    <t>권송이</t>
  </si>
  <si>
    <t>881111-2</t>
  </si>
  <si>
    <t>김남연</t>
  </si>
  <si>
    <t>981209-2</t>
  </si>
  <si>
    <t>김미향</t>
  </si>
  <si>
    <t xml:space="preserve">930728-2  </t>
  </si>
  <si>
    <t>김영훈</t>
  </si>
  <si>
    <t>970103-1</t>
  </si>
  <si>
    <t>김은지</t>
  </si>
  <si>
    <t>971112-2</t>
  </si>
  <si>
    <t>김정서</t>
  </si>
  <si>
    <t>961223-2</t>
  </si>
  <si>
    <t>노혜진</t>
  </si>
  <si>
    <t>960125-2</t>
  </si>
  <si>
    <t>성수진</t>
  </si>
  <si>
    <t>970507-2</t>
  </si>
  <si>
    <t>송민서</t>
  </si>
  <si>
    <t>970909-2</t>
  </si>
  <si>
    <t>윤혜경</t>
  </si>
  <si>
    <t>901121-2</t>
  </si>
  <si>
    <t>이규원</t>
  </si>
  <si>
    <t>940304-2</t>
  </si>
  <si>
    <t>이동욱</t>
  </si>
  <si>
    <t>930106-1</t>
  </si>
  <si>
    <t>이은진</t>
  </si>
  <si>
    <t>910517-2</t>
  </si>
  <si>
    <t>이혜민</t>
  </si>
  <si>
    <t>931029-2</t>
  </si>
  <si>
    <t>정나현</t>
  </si>
  <si>
    <t>951024-2</t>
  </si>
  <si>
    <t>조유진</t>
  </si>
  <si>
    <t>971010-2</t>
  </si>
  <si>
    <t>근로자</t>
    <phoneticPr fontId="2" type="noConversion"/>
  </si>
  <si>
    <t>하유정</t>
  </si>
  <si>
    <t>960409-2</t>
  </si>
  <si>
    <t>황다영</t>
  </si>
  <si>
    <t>941024-2</t>
  </si>
  <si>
    <r>
      <t xml:space="preserve">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우수한 점 : 적극적으로 리서치 조사에임함.
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미흡한 점 : 리서치 내용 중 색상을 치합하는 과정을 생략하는 경향이 있음.  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</si>
</sst>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"/>
    <numFmt numFmtId="177" formatCode="0_);[Red]\(0\)"/>
    <numFmt numFmtId="178" formatCode="0.0_);[Red]\(0.0\)"/>
    <numFmt numFmtId="179" formatCode="0.0_ "/>
    <numFmt numFmtId="180" formatCode="General&quot;명&quot;"/>
    <numFmt numFmtId="181" formatCode="yyyy/mm/dd\ \(aaa\)"/>
    <numFmt numFmtId="182" formatCode="#"/>
    <numFmt numFmtId="183" formatCode="mm&quot;월&quot;\ dd&quot;일&quot;\ \(aaaa\)"/>
    <numFmt numFmtId="184" formatCode="#,##0.00_ "/>
  </numFmts>
  <fonts count="5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5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나눔바른고딕"/>
      <family val="3"/>
      <charset val="129"/>
    </font>
    <font>
      <sz val="11"/>
      <color theme="1"/>
      <name val="나눔바른고딕"/>
      <family val="3"/>
      <charset val="129"/>
    </font>
    <font>
      <b/>
      <sz val="20"/>
      <color rgb="FF000000"/>
      <name val="굴림"/>
      <family val="3"/>
      <charset val="129"/>
    </font>
    <font>
      <b/>
      <sz val="10"/>
      <color rgb="FF000000"/>
      <name val="HY중고딕"/>
      <family val="1"/>
      <charset val="129"/>
    </font>
    <font>
      <b/>
      <sz val="12"/>
      <color rgb="FF000000"/>
      <name val="HY중고딕"/>
      <family val="1"/>
      <charset val="129"/>
    </font>
    <font>
      <b/>
      <sz val="8"/>
      <color rgb="FF000000"/>
      <name val="HY중고딕"/>
      <family val="1"/>
      <charset val="129"/>
    </font>
    <font>
      <b/>
      <sz val="9"/>
      <color rgb="FF000000"/>
      <name val="HY중고딕"/>
      <family val="1"/>
      <charset val="129"/>
    </font>
    <font>
      <sz val="10"/>
      <color rgb="FF000000"/>
      <name val="HY중고딕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맑은 고딕"/>
      <family val="3"/>
      <charset val="129"/>
      <scheme val="minor"/>
    </font>
    <font>
      <sz val="8"/>
      <color rgb="FF000000"/>
      <name val="HY중고딕"/>
      <family val="1"/>
      <charset val="129"/>
    </font>
    <font>
      <b/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  <font>
      <sz val="12"/>
      <color rgb="FFC0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5"/>
      <color indexed="14"/>
      <name val="맑은 고딕"/>
      <family val="3"/>
      <charset val="129"/>
    </font>
    <font>
      <b/>
      <sz val="11"/>
      <color indexed="14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33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1"/>
      <color indexed="81"/>
      <name val="Tahoma"/>
      <family val="2"/>
    </font>
    <font>
      <sz val="6"/>
      <color theme="1"/>
      <name val="맑은 고딕"/>
      <family val="2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2"/>
      <color theme="0" tint="-0.34998626667073579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rgb="FF000000"/>
      <name val="HY중고딕"/>
      <family val="1"/>
      <charset val="129"/>
    </font>
    <font>
      <sz val="9"/>
      <color rgb="FF000000"/>
      <name val="맑은 고딕"/>
      <family val="3"/>
      <charset val="129"/>
      <scheme val="minor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b/>
      <sz val="9"/>
      <color indexed="10"/>
      <name val="맑은 고딕"/>
      <family val="3"/>
      <charset val="129"/>
    </font>
    <font>
      <sz val="11"/>
      <name val="돋움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10"/>
      <name val="Segoe UI Symbol"/>
      <family val="2"/>
    </font>
    <font>
      <sz val="10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b/>
      <sz val="11"/>
      <color rgb="FF0070C0"/>
      <name val="맑은 고딕"/>
      <family val="2"/>
      <charset val="129"/>
      <scheme val="minor"/>
    </font>
    <font>
      <b/>
      <sz val="10"/>
      <color rgb="FF0070C0"/>
      <name val="나눔바른고딕"/>
      <family val="3"/>
      <charset val="129"/>
    </font>
    <font>
      <sz val="8"/>
      <color theme="1"/>
      <name val="나눔바른고딕"/>
      <family val="3"/>
      <charset val="129"/>
    </font>
    <font>
      <b/>
      <sz val="11"/>
      <color theme="1"/>
      <name val="나눔바른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EF7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F1F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89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/>
      <diagonal/>
    </border>
    <border>
      <left/>
      <right style="hair">
        <color theme="4" tint="0.39994506668294322"/>
      </right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/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medium">
        <color theme="4" tint="0.39988402966399123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/>
      <diagonal/>
    </border>
    <border>
      <left style="hair">
        <color theme="4" tint="0.39994506668294322"/>
      </left>
      <right/>
      <top style="hair">
        <color theme="4" tint="0.39994506668294322"/>
      </top>
      <bottom/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/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medium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medium">
        <color rgb="FF00B0F0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auto="1"/>
      </bottom>
      <diagonal/>
    </border>
    <border>
      <left style="medium">
        <color theme="4" tint="0.39985351115451523"/>
      </left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 style="medium">
        <color theme="4" tint="0.39985351115451523"/>
      </right>
      <top style="medium">
        <color theme="4" tint="0.39988402966399123"/>
      </top>
      <bottom style="medium">
        <color theme="4" tint="0.39985351115451523"/>
      </bottom>
      <diagonal/>
    </border>
    <border>
      <left style="hair">
        <color theme="4" tint="0.39988402966399123"/>
      </left>
      <right/>
      <top style="medium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medium">
        <color theme="4" tint="0.39991454817346722"/>
      </bottom>
      <diagonal/>
    </border>
    <border>
      <left/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8" fillId="0" borderId="0">
      <alignment vertical="center"/>
    </xf>
  </cellStyleXfs>
  <cellXfs count="462">
    <xf numFmtId="0" fontId="0" fillId="0" borderId="0" xfId="0">
      <alignment vertical="center"/>
    </xf>
    <xf numFmtId="0" fontId="0" fillId="0" borderId="8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/>
    </xf>
    <xf numFmtId="0" fontId="9" fillId="0" borderId="18" xfId="0" applyFont="1" applyBorder="1">
      <alignment vertical="center"/>
    </xf>
    <xf numFmtId="0" fontId="9" fillId="0" borderId="20" xfId="0" applyFont="1" applyBorder="1">
      <alignment vertical="center"/>
    </xf>
    <xf numFmtId="0" fontId="9" fillId="0" borderId="22" xfId="0" applyFont="1" applyBorder="1">
      <alignment vertical="center"/>
    </xf>
    <xf numFmtId="0" fontId="14" fillId="2" borderId="24" xfId="0" applyFont="1" applyFill="1" applyBorder="1" applyAlignment="1">
      <alignment horizontal="center" vertical="center" wrapText="1"/>
    </xf>
    <xf numFmtId="0" fontId="14" fillId="2" borderId="29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7" fillId="5" borderId="44" xfId="0" applyFont="1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7" fillId="5" borderId="45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9" fontId="0" fillId="0" borderId="47" xfId="1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9" fontId="0" fillId="0" borderId="49" xfId="1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80" fontId="0" fillId="0" borderId="52" xfId="0" applyNumberForma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58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79" fontId="16" fillId="2" borderId="1" xfId="0" applyNumberFormat="1" applyFont="1" applyFill="1" applyBorder="1" applyAlignment="1">
      <alignment horizontal="center" vertical="center" wrapText="1"/>
    </xf>
    <xf numFmtId="179" fontId="15" fillId="0" borderId="1" xfId="0" applyNumberFormat="1" applyFont="1" applyBorder="1" applyAlignment="1">
      <alignment horizontal="center" vertical="center" wrapText="1"/>
    </xf>
    <xf numFmtId="0" fontId="0" fillId="2" borderId="0" xfId="0" applyFill="1">
      <alignment vertical="center"/>
    </xf>
    <xf numFmtId="0" fontId="7" fillId="0" borderId="0" xfId="0" applyFont="1">
      <alignment vertical="center"/>
    </xf>
    <xf numFmtId="0" fontId="7" fillId="0" borderId="5" xfId="0" applyFont="1" applyBorder="1">
      <alignment vertical="center"/>
    </xf>
    <xf numFmtId="179" fontId="7" fillId="0" borderId="5" xfId="0" quotePrefix="1" applyNumberFormat="1" applyFont="1" applyBorder="1">
      <alignment vertical="center"/>
    </xf>
    <xf numFmtId="0" fontId="7" fillId="0" borderId="7" xfId="0" applyFont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177" fontId="8" fillId="6" borderId="16" xfId="0" applyNumberFormat="1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right" vertical="center"/>
    </xf>
    <xf numFmtId="0" fontId="8" fillId="0" borderId="23" xfId="0" applyFont="1" applyBorder="1" applyAlignment="1">
      <alignment horizontal="right" vertical="center"/>
    </xf>
    <xf numFmtId="182" fontId="40" fillId="0" borderId="5" xfId="0" applyNumberFormat="1" applyFont="1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182" fontId="0" fillId="0" borderId="0" xfId="0" applyNumberFormat="1" applyFill="1">
      <alignment vertical="center"/>
    </xf>
    <xf numFmtId="0" fontId="9" fillId="0" borderId="16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right" vertical="center"/>
    </xf>
    <xf numFmtId="0" fontId="9" fillId="0" borderId="17" xfId="0" applyFont="1" applyFill="1" applyBorder="1" applyAlignment="1">
      <alignment horizontal="right" vertical="center"/>
    </xf>
    <xf numFmtId="0" fontId="22" fillId="2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70" xfId="0" applyFont="1" applyBorder="1" applyAlignment="1">
      <alignment horizontal="left" vertical="center"/>
    </xf>
    <xf numFmtId="0" fontId="3" fillId="0" borderId="70" xfId="0" applyFont="1" applyBorder="1" applyAlignment="1">
      <alignment horizontal="center" vertical="center"/>
    </xf>
    <xf numFmtId="0" fontId="3" fillId="0" borderId="70" xfId="0" applyFont="1" applyBorder="1" applyAlignment="1">
      <alignment horizontal="right" vertical="center"/>
    </xf>
    <xf numFmtId="0" fontId="3" fillId="0" borderId="70" xfId="0" applyFont="1" applyBorder="1" applyAlignment="1">
      <alignment horizontal="left" vertical="center" wrapText="1"/>
    </xf>
    <xf numFmtId="0" fontId="0" fillId="0" borderId="70" xfId="0" applyBorder="1" applyAlignment="1">
      <alignment horizontal="left" vertical="center"/>
    </xf>
    <xf numFmtId="0" fontId="3" fillId="0" borderId="71" xfId="0" applyFont="1" applyBorder="1" applyAlignment="1">
      <alignment horizontal="center" vertical="center"/>
    </xf>
    <xf numFmtId="0" fontId="3" fillId="0" borderId="71" xfId="0" applyFont="1" applyBorder="1" applyAlignment="1">
      <alignment horizontal="right" vertical="center"/>
    </xf>
    <xf numFmtId="0" fontId="3" fillId="0" borderId="71" xfId="0" applyFont="1" applyBorder="1" applyAlignment="1">
      <alignment horizontal="left" vertical="center" wrapText="1"/>
    </xf>
    <xf numFmtId="0" fontId="0" fillId="2" borderId="72" xfId="0" applyFill="1" applyBorder="1" applyAlignment="1">
      <alignment horizontal="center" vertical="center"/>
    </xf>
    <xf numFmtId="0" fontId="38" fillId="2" borderId="72" xfId="0" applyFont="1" applyFill="1" applyBorder="1" applyAlignment="1">
      <alignment horizontal="center" vertical="center"/>
    </xf>
    <xf numFmtId="0" fontId="38" fillId="2" borderId="73" xfId="0" applyFont="1" applyFill="1" applyBorder="1" applyAlignment="1">
      <alignment horizontal="center" vertical="center"/>
    </xf>
    <xf numFmtId="0" fontId="3" fillId="2" borderId="73" xfId="0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3" xfId="0" applyBorder="1" applyAlignment="1">
      <alignment horizontal="left" vertical="center"/>
    </xf>
    <xf numFmtId="0" fontId="0" fillId="0" borderId="70" xfId="0" applyBorder="1" applyAlignment="1">
      <alignment horizontal="right" vertical="center"/>
    </xf>
    <xf numFmtId="0" fontId="0" fillId="0" borderId="73" xfId="0" applyBorder="1" applyAlignment="1">
      <alignment horizontal="right" vertical="center"/>
    </xf>
    <xf numFmtId="0" fontId="3" fillId="2" borderId="73" xfId="0" applyFont="1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14" fillId="2" borderId="31" xfId="0" applyFont="1" applyFill="1" applyBorder="1" applyAlignment="1">
      <alignment horizontal="center" vertical="center" wrapText="1"/>
    </xf>
    <xf numFmtId="0" fontId="43" fillId="0" borderId="31" xfId="0" applyFont="1" applyFill="1" applyBorder="1" applyAlignment="1">
      <alignment vertical="center" wrapText="1"/>
    </xf>
    <xf numFmtId="0" fontId="43" fillId="0" borderId="30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178" fontId="44" fillId="0" borderId="5" xfId="0" applyNumberFormat="1" applyFont="1" applyBorder="1" applyAlignment="1">
      <alignment horizontal="center" vertical="center" wrapText="1"/>
    </xf>
    <xf numFmtId="0" fontId="43" fillId="0" borderId="50" xfId="0" applyFont="1" applyBorder="1" applyAlignment="1">
      <alignment horizontal="center" vertical="center" wrapText="1"/>
    </xf>
    <xf numFmtId="0" fontId="43" fillId="0" borderId="30" xfId="0" applyFont="1" applyFill="1" applyBorder="1" applyAlignment="1">
      <alignment horizontal="center" vertical="center" wrapText="1"/>
    </xf>
    <xf numFmtId="0" fontId="43" fillId="0" borderId="29" xfId="0" applyFont="1" applyFill="1" applyBorder="1" applyAlignment="1">
      <alignment horizontal="center" vertical="center" wrapText="1"/>
    </xf>
    <xf numFmtId="0" fontId="43" fillId="0" borderId="54" xfId="0" applyFont="1" applyBorder="1" applyAlignment="1">
      <alignment horizontal="center" vertical="center" wrapText="1"/>
    </xf>
    <xf numFmtId="0" fontId="43" fillId="0" borderId="50" xfId="0" applyFont="1" applyFill="1" applyBorder="1" applyAlignment="1">
      <alignment horizontal="center" vertical="center" wrapText="1"/>
    </xf>
    <xf numFmtId="0" fontId="43" fillId="0" borderId="0" xfId="0" applyFont="1" applyFill="1" applyBorder="1" applyAlignment="1">
      <alignment horizontal="center" vertical="center" wrapText="1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8" fillId="0" borderId="15" xfId="0" applyNumberFormat="1" applyFont="1" applyBorder="1" applyAlignment="1">
      <alignment horizontal="right" vertical="center"/>
    </xf>
    <xf numFmtId="0" fontId="8" fillId="0" borderId="17" xfId="0" applyNumberFormat="1" applyFont="1" applyBorder="1" applyAlignment="1">
      <alignment horizontal="right" vertical="center"/>
    </xf>
    <xf numFmtId="0" fontId="43" fillId="0" borderId="60" xfId="0" applyFont="1" applyFill="1" applyBorder="1" applyAlignment="1">
      <alignment horizontal="center" vertical="center" wrapText="1"/>
    </xf>
    <xf numFmtId="0" fontId="43" fillId="0" borderId="76" xfId="0" applyFont="1" applyBorder="1" applyAlignment="1">
      <alignment horizontal="center" vertical="center" wrapText="1"/>
    </xf>
    <xf numFmtId="0" fontId="44" fillId="0" borderId="7" xfId="0" applyFont="1" applyBorder="1" applyAlignment="1">
      <alignment horizontal="center" vertical="center" wrapText="1"/>
    </xf>
    <xf numFmtId="178" fontId="44" fillId="0" borderId="7" xfId="0" applyNumberFormat="1" applyFont="1" applyBorder="1" applyAlignment="1">
      <alignment horizontal="center" vertical="center" wrapText="1"/>
    </xf>
    <xf numFmtId="0" fontId="7" fillId="0" borderId="0" xfId="0" applyFont="1" applyBorder="1">
      <alignment vertical="center"/>
    </xf>
    <xf numFmtId="0" fontId="7" fillId="2" borderId="0" xfId="0" applyFont="1" applyFill="1" applyBorder="1">
      <alignment vertical="center"/>
    </xf>
    <xf numFmtId="0" fontId="3" fillId="0" borderId="6" xfId="0" applyFont="1" applyBorder="1">
      <alignment vertical="center"/>
    </xf>
    <xf numFmtId="0" fontId="21" fillId="2" borderId="58" xfId="0" applyFont="1" applyFill="1" applyBorder="1" applyAlignment="1">
      <alignment horizontal="center" vertical="center"/>
    </xf>
    <xf numFmtId="179" fontId="7" fillId="0" borderId="7" xfId="0" quotePrefix="1" applyNumberFormat="1" applyFont="1" applyBorder="1">
      <alignment vertical="center"/>
    </xf>
    <xf numFmtId="0" fontId="17" fillId="8" borderId="0" xfId="0" applyFont="1" applyFill="1" applyAlignment="1">
      <alignment horizontal="center" vertical="center"/>
    </xf>
    <xf numFmtId="0" fontId="0" fillId="0" borderId="77" xfId="0" applyBorder="1">
      <alignment vertical="center"/>
    </xf>
    <xf numFmtId="176" fontId="0" fillId="0" borderId="78" xfId="0" applyNumberFormat="1" applyBorder="1">
      <alignment vertical="center"/>
    </xf>
    <xf numFmtId="0" fontId="0" fillId="0" borderId="78" xfId="0" applyBorder="1">
      <alignment vertical="center"/>
    </xf>
    <xf numFmtId="14" fontId="0" fillId="0" borderId="79" xfId="0" applyNumberFormat="1" applyBorder="1">
      <alignment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10" borderId="0" xfId="0" applyFill="1">
      <alignment vertical="center"/>
    </xf>
    <xf numFmtId="176" fontId="9" fillId="0" borderId="0" xfId="0" applyNumberFormat="1" applyFont="1" applyFill="1" applyBorder="1" applyAlignment="1">
      <alignment horizontal="right" vertical="center"/>
    </xf>
    <xf numFmtId="0" fontId="8" fillId="0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right" vertical="center" wrapText="1"/>
    </xf>
    <xf numFmtId="0" fontId="8" fillId="0" borderId="19" xfId="0" applyFont="1" applyBorder="1" applyAlignment="1">
      <alignment horizontal="right" vertical="center" wrapText="1"/>
    </xf>
    <xf numFmtId="0" fontId="8" fillId="0" borderId="15" xfId="0" applyNumberFormat="1" applyFont="1" applyBorder="1" applyAlignment="1">
      <alignment horizontal="right" vertical="center" wrapText="1"/>
    </xf>
    <xf numFmtId="0" fontId="0" fillId="0" borderId="80" xfId="0" applyFill="1" applyBorder="1">
      <alignment vertical="center"/>
    </xf>
    <xf numFmtId="0" fontId="0" fillId="0" borderId="81" xfId="0" applyBorder="1">
      <alignment vertical="center"/>
    </xf>
    <xf numFmtId="0" fontId="7" fillId="0" borderId="82" xfId="0" applyFont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0" fontId="0" fillId="0" borderId="83" xfId="0" applyFill="1" applyBorder="1">
      <alignment vertical="center"/>
    </xf>
    <xf numFmtId="49" fontId="0" fillId="0" borderId="82" xfId="0" applyNumberFormat="1" applyFill="1" applyBorder="1" applyAlignment="1">
      <alignment horizontal="center" vertical="center"/>
    </xf>
    <xf numFmtId="0" fontId="0" fillId="0" borderId="83" xfId="0" applyBorder="1">
      <alignment vertical="center"/>
    </xf>
    <xf numFmtId="0" fontId="3" fillId="3" borderId="82" xfId="0" applyFont="1" applyFill="1" applyBorder="1" applyAlignment="1">
      <alignment horizontal="center" vertical="center" wrapText="1"/>
    </xf>
    <xf numFmtId="49" fontId="3" fillId="3" borderId="82" xfId="0" applyNumberFormat="1" applyFont="1" applyFill="1" applyBorder="1" applyAlignment="1">
      <alignment horizontal="center" vertical="center" wrapText="1"/>
    </xf>
    <xf numFmtId="0" fontId="3" fillId="0" borderId="82" xfId="0" applyFont="1" applyFill="1" applyBorder="1" applyAlignment="1">
      <alignment horizontal="center" vertical="center" wrapText="1"/>
    </xf>
    <xf numFmtId="49" fontId="3" fillId="0" borderId="82" xfId="0" applyNumberFormat="1" applyFont="1" applyFill="1" applyBorder="1" applyAlignment="1">
      <alignment horizontal="center" vertical="center" wrapText="1"/>
    </xf>
    <xf numFmtId="0" fontId="0" fillId="0" borderId="84" xfId="0" applyBorder="1">
      <alignment vertical="center"/>
    </xf>
    <xf numFmtId="0" fontId="3" fillId="3" borderId="85" xfId="0" applyFont="1" applyFill="1" applyBorder="1" applyAlignment="1">
      <alignment horizontal="center" vertical="center" wrapText="1"/>
    </xf>
    <xf numFmtId="49" fontId="3" fillId="3" borderId="85" xfId="0" applyNumberFormat="1" applyFont="1" applyFill="1" applyBorder="1" applyAlignment="1">
      <alignment horizontal="center" vertical="center" wrapText="1"/>
    </xf>
    <xf numFmtId="49" fontId="0" fillId="0" borderId="85" xfId="0" applyNumberFormat="1" applyBorder="1" applyAlignment="1">
      <alignment horizontal="center" vertical="center"/>
    </xf>
    <xf numFmtId="0" fontId="0" fillId="0" borderId="86" xfId="0" applyFill="1" applyBorder="1">
      <alignment vertical="center"/>
    </xf>
    <xf numFmtId="2" fontId="0" fillId="0" borderId="0" xfId="0" applyNumberFormat="1">
      <alignment vertical="center"/>
    </xf>
    <xf numFmtId="0" fontId="8" fillId="0" borderId="22" xfId="0" applyFont="1" applyBorder="1" applyAlignment="1">
      <alignment horizontal="center" vertical="center" wrapText="1"/>
    </xf>
    <xf numFmtId="0" fontId="8" fillId="12" borderId="18" xfId="0" applyFont="1" applyFill="1" applyBorder="1" applyAlignment="1">
      <alignment vertical="center" wrapText="1"/>
    </xf>
    <xf numFmtId="0" fontId="54" fillId="6" borderId="0" xfId="0" applyFont="1" applyFill="1">
      <alignment vertical="center"/>
    </xf>
    <xf numFmtId="0" fontId="55" fillId="0" borderId="0" xfId="0" applyFont="1">
      <alignment vertical="center"/>
    </xf>
    <xf numFmtId="0" fontId="56" fillId="3" borderId="15" xfId="0" applyFont="1" applyFill="1" applyBorder="1" applyAlignment="1">
      <alignment horizontal="center" vertical="center" wrapText="1"/>
    </xf>
    <xf numFmtId="0" fontId="57" fillId="0" borderId="17" xfId="0" applyFont="1" applyBorder="1" applyAlignment="1">
      <alignment horizontal="center" vertical="center"/>
    </xf>
    <xf numFmtId="1" fontId="9" fillId="0" borderId="16" xfId="0" applyNumberFormat="1" applyFont="1" applyFill="1" applyBorder="1">
      <alignment vertical="center"/>
    </xf>
    <xf numFmtId="1" fontId="9" fillId="0" borderId="15" xfId="0" applyNumberFormat="1" applyFont="1" applyFill="1" applyBorder="1">
      <alignment vertical="center"/>
    </xf>
    <xf numFmtId="1" fontId="9" fillId="0" borderId="17" xfId="0" applyNumberFormat="1" applyFont="1" applyFill="1" applyBorder="1">
      <alignment vertical="center"/>
    </xf>
    <xf numFmtId="178" fontId="9" fillId="2" borderId="16" xfId="0" applyNumberFormat="1" applyFont="1" applyFill="1" applyBorder="1" applyAlignment="1">
      <alignment horizontal="right" vertical="center"/>
    </xf>
    <xf numFmtId="178" fontId="9" fillId="2" borderId="15" xfId="0" applyNumberFormat="1" applyFont="1" applyFill="1" applyBorder="1" applyAlignment="1">
      <alignment horizontal="right" vertical="center"/>
    </xf>
    <xf numFmtId="178" fontId="9" fillId="2" borderId="17" xfId="0" applyNumberFormat="1" applyFont="1" applyFill="1" applyBorder="1" applyAlignment="1">
      <alignment horizontal="right" vertical="center"/>
    </xf>
    <xf numFmtId="176" fontId="58" fillId="13" borderId="16" xfId="0" applyNumberFormat="1" applyFont="1" applyFill="1" applyBorder="1" applyAlignment="1">
      <alignment horizontal="right" vertical="center"/>
    </xf>
    <xf numFmtId="176" fontId="58" fillId="13" borderId="15" xfId="0" applyNumberFormat="1" applyFont="1" applyFill="1" applyBorder="1" applyAlignment="1">
      <alignment horizontal="right" vertical="center"/>
    </xf>
    <xf numFmtId="176" fontId="58" fillId="13" borderId="17" xfId="0" applyNumberFormat="1" applyFont="1" applyFill="1" applyBorder="1" applyAlignment="1">
      <alignment horizontal="right" vertical="center"/>
    </xf>
    <xf numFmtId="0" fontId="8" fillId="6" borderId="20" xfId="0" applyFont="1" applyFill="1" applyBorder="1" applyAlignment="1">
      <alignment horizontal="center" vertical="center" wrapText="1"/>
    </xf>
    <xf numFmtId="0" fontId="3" fillId="0" borderId="71" xfId="0" applyFont="1" applyBorder="1" applyAlignment="1">
      <alignment horizontal="left" vertical="center"/>
    </xf>
    <xf numFmtId="183" fontId="42" fillId="0" borderId="71" xfId="0" applyNumberFormat="1" applyFont="1" applyBorder="1" applyAlignment="1">
      <alignment horizontal="center" vertical="center"/>
    </xf>
    <xf numFmtId="0" fontId="0" fillId="0" borderId="87" xfId="0" applyBorder="1">
      <alignment vertical="center"/>
    </xf>
    <xf numFmtId="49" fontId="3" fillId="3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0" fontId="0" fillId="0" borderId="88" xfId="0" applyBorder="1">
      <alignment vertical="center"/>
    </xf>
    <xf numFmtId="49" fontId="3" fillId="3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 wrapText="1"/>
    </xf>
    <xf numFmtId="49" fontId="3" fillId="11" borderId="8" xfId="0" applyNumberFormat="1" applyFont="1" applyFill="1" applyBorder="1" applyAlignment="1">
      <alignment horizontal="center" vertical="center" wrapText="1"/>
    </xf>
    <xf numFmtId="49" fontId="0" fillId="11" borderId="8" xfId="0" applyNumberForma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68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6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16" fillId="0" borderId="33" xfId="0" applyFont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 wrapText="1"/>
    </xf>
    <xf numFmtId="0" fontId="16" fillId="0" borderId="59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justify" vertical="center" wrapText="1"/>
    </xf>
    <xf numFmtId="0" fontId="15" fillId="0" borderId="34" xfId="0" applyFont="1" applyBorder="1" applyAlignment="1">
      <alignment horizontal="justify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justify" vertical="center" wrapText="1"/>
    </xf>
    <xf numFmtId="0" fontId="19" fillId="0" borderId="39" xfId="0" applyFont="1" applyBorder="1" applyAlignment="1">
      <alignment horizontal="justify" vertical="center" wrapText="1"/>
    </xf>
    <xf numFmtId="0" fontId="19" fillId="0" borderId="60" xfId="0" applyFont="1" applyBorder="1" applyAlignment="1">
      <alignment horizontal="justify" vertical="center" wrapText="1"/>
    </xf>
    <xf numFmtId="0" fontId="19" fillId="0" borderId="61" xfId="0" applyFont="1" applyBorder="1" applyAlignment="1">
      <alignment horizontal="justify" vertical="center" wrapText="1"/>
    </xf>
    <xf numFmtId="179" fontId="44" fillId="0" borderId="3" xfId="0" applyNumberFormat="1" applyFont="1" applyBorder="1" applyAlignment="1">
      <alignment horizontal="center" vertical="center" wrapText="1"/>
    </xf>
    <xf numFmtId="179" fontId="44" fillId="0" borderId="35" xfId="0" applyNumberFormat="1" applyFont="1" applyBorder="1" applyAlignment="1">
      <alignment horizontal="center" vertical="center" wrapText="1"/>
    </xf>
    <xf numFmtId="179" fontId="44" fillId="0" borderId="4" xfId="0" applyNumberFormat="1" applyFont="1" applyBorder="1" applyAlignment="1">
      <alignment horizontal="center" vertical="center" wrapText="1"/>
    </xf>
    <xf numFmtId="0" fontId="16" fillId="2" borderId="57" xfId="0" applyFont="1" applyFill="1" applyBorder="1" applyAlignment="1">
      <alignment horizontal="center" vertical="center" wrapText="1"/>
    </xf>
    <xf numFmtId="0" fontId="16" fillId="2" borderId="58" xfId="0" applyFont="1" applyFill="1" applyBorder="1" applyAlignment="1">
      <alignment horizontal="center" vertical="center" wrapText="1"/>
    </xf>
    <xf numFmtId="179" fontId="16" fillId="2" borderId="57" xfId="0" applyNumberFormat="1" applyFont="1" applyFill="1" applyBorder="1" applyAlignment="1">
      <alignment horizontal="center" vertical="center" wrapText="1"/>
    </xf>
    <xf numFmtId="179" fontId="16" fillId="2" borderId="58" xfId="0" applyNumberFormat="1" applyFont="1" applyFill="1" applyBorder="1" applyAlignment="1">
      <alignment horizontal="center" vertical="center" wrapText="1"/>
    </xf>
    <xf numFmtId="179" fontId="18" fillId="0" borderId="1" xfId="0" applyNumberFormat="1" applyFont="1" applyBorder="1" applyAlignment="1">
      <alignment horizontal="center" vertical="center" wrapText="1"/>
    </xf>
    <xf numFmtId="179" fontId="44" fillId="0" borderId="6" xfId="0" applyNumberFormat="1" applyFont="1" applyBorder="1" applyAlignment="1">
      <alignment horizontal="center" vertical="center" wrapText="1"/>
    </xf>
    <xf numFmtId="179" fontId="44" fillId="0" borderId="55" xfId="0" applyNumberFormat="1" applyFont="1" applyBorder="1" applyAlignment="1">
      <alignment horizontal="center" vertical="center" wrapText="1"/>
    </xf>
    <xf numFmtId="179" fontId="44" fillId="0" borderId="56" xfId="0" applyNumberFormat="1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11" fillId="4" borderId="32" xfId="0" applyFont="1" applyFill="1" applyBorder="1" applyAlignment="1">
      <alignment horizontal="center" vertical="center" wrapText="1"/>
    </xf>
    <xf numFmtId="0" fontId="11" fillId="4" borderId="37" xfId="0" applyFont="1" applyFill="1" applyBorder="1" applyAlignment="1">
      <alignment horizontal="center" vertical="center" wrapText="1"/>
    </xf>
    <xf numFmtId="0" fontId="11" fillId="4" borderId="40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11" fillId="4" borderId="36" xfId="0" applyFont="1" applyFill="1" applyBorder="1" applyAlignment="1">
      <alignment horizontal="center" vertical="center" wrapText="1"/>
    </xf>
    <xf numFmtId="0" fontId="11" fillId="4" borderId="34" xfId="0" applyFont="1" applyFill="1" applyBorder="1" applyAlignment="1">
      <alignment horizontal="center" vertical="center" wrapText="1"/>
    </xf>
    <xf numFmtId="0" fontId="11" fillId="4" borderId="38" xfId="0" applyFont="1" applyFill="1" applyBorder="1" applyAlignment="1">
      <alignment horizontal="center" vertical="center" wrapText="1"/>
    </xf>
    <xf numFmtId="0" fontId="11" fillId="4" borderId="0" xfId="0" applyFont="1" applyFill="1" applyBorder="1" applyAlignment="1">
      <alignment horizontal="center" vertical="center" wrapText="1"/>
    </xf>
    <xf numFmtId="0" fontId="11" fillId="4" borderId="39" xfId="0" applyFont="1" applyFill="1" applyBorder="1" applyAlignment="1">
      <alignment horizontal="center" vertical="center" wrapText="1"/>
    </xf>
    <xf numFmtId="0" fontId="11" fillId="4" borderId="41" xfId="0" applyFont="1" applyFill="1" applyBorder="1" applyAlignment="1">
      <alignment horizontal="center" vertical="center" wrapText="1"/>
    </xf>
    <xf numFmtId="0" fontId="11" fillId="4" borderId="4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9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7" xfId="0" applyFont="1" applyFill="1" applyBorder="1" applyAlignment="1">
      <alignment horizontal="center" vertical="center" wrapText="1"/>
    </xf>
    <xf numFmtId="0" fontId="14" fillId="0" borderId="26" xfId="0" applyFont="1" applyFill="1" applyBorder="1" applyAlignment="1">
      <alignment horizontal="center" vertical="center" wrapText="1"/>
    </xf>
    <xf numFmtId="0" fontId="14" fillId="0" borderId="28" xfId="0" applyFont="1" applyFill="1" applyBorder="1" applyAlignment="1">
      <alignment horizontal="center" vertical="center" wrapText="1"/>
    </xf>
    <xf numFmtId="0" fontId="14" fillId="0" borderId="27" xfId="0" applyFont="1" applyFill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25" fillId="0" borderId="5" xfId="0" applyFont="1" applyBorder="1" applyAlignment="1">
      <alignment horizontal="left" vertical="top" wrapText="1"/>
    </xf>
    <xf numFmtId="0" fontId="25" fillId="0" borderId="3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0" fontId="21" fillId="0" borderId="62" xfId="0" applyFont="1" applyBorder="1" applyAlignment="1">
      <alignment horizontal="left" vertical="center"/>
    </xf>
    <xf numFmtId="0" fontId="22" fillId="0" borderId="62" xfId="0" applyFont="1" applyBorder="1" applyAlignment="1">
      <alignment horizontal="left" vertical="center"/>
    </xf>
    <xf numFmtId="0" fontId="22" fillId="2" borderId="57" xfId="0" applyFont="1" applyFill="1" applyBorder="1" applyAlignment="1">
      <alignment horizontal="center" vertical="center"/>
    </xf>
    <xf numFmtId="0" fontId="22" fillId="2" borderId="63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7" fillId="2" borderId="60" xfId="0" applyFont="1" applyFill="1" applyBorder="1" applyAlignment="1">
      <alignment horizontal="center" vertical="center"/>
    </xf>
    <xf numFmtId="0" fontId="7" fillId="2" borderId="61" xfId="0" applyFont="1" applyFill="1" applyBorder="1" applyAlignment="1">
      <alignment horizontal="center" vertical="center"/>
    </xf>
    <xf numFmtId="0" fontId="52" fillId="9" borderId="33" xfId="0" applyFont="1" applyFill="1" applyBorder="1" applyAlignment="1">
      <alignment horizontal="left" vertical="center" wrapText="1"/>
    </xf>
    <xf numFmtId="0" fontId="50" fillId="9" borderId="36" xfId="0" applyFont="1" applyFill="1" applyBorder="1" applyAlignment="1">
      <alignment horizontal="left" vertical="center" wrapText="1"/>
    </xf>
    <xf numFmtId="0" fontId="50" fillId="9" borderId="38" xfId="0" applyFont="1" applyFill="1" applyBorder="1" applyAlignment="1">
      <alignment horizontal="left" vertical="center" wrapText="1"/>
    </xf>
    <xf numFmtId="0" fontId="50" fillId="9" borderId="0" xfId="0" applyFont="1" applyFill="1" applyBorder="1" applyAlignment="1">
      <alignment horizontal="left" vertical="center" wrapText="1"/>
    </xf>
    <xf numFmtId="0" fontId="50" fillId="9" borderId="59" xfId="0" applyFont="1" applyFill="1" applyBorder="1" applyAlignment="1">
      <alignment horizontal="left" vertical="center" wrapText="1"/>
    </xf>
    <xf numFmtId="0" fontId="50" fillId="9" borderId="60" xfId="0" applyFont="1" applyFill="1" applyBorder="1" applyAlignment="1">
      <alignment horizontal="left" vertical="center" wrapText="1"/>
    </xf>
    <xf numFmtId="0" fontId="22" fillId="2" borderId="58" xfId="0" applyFont="1" applyFill="1" applyBorder="1" applyAlignment="1">
      <alignment horizontal="center" vertical="center"/>
    </xf>
    <xf numFmtId="184" fontId="22" fillId="0" borderId="1" xfId="0" applyNumberFormat="1" applyFont="1" applyBorder="1" applyAlignment="1">
      <alignment horizontal="left" vertical="center"/>
    </xf>
    <xf numFmtId="184" fontId="22" fillId="0" borderId="57" xfId="0" applyNumberFormat="1" applyFont="1" applyBorder="1" applyAlignment="1">
      <alignment horizontal="left" vertical="center"/>
    </xf>
    <xf numFmtId="0" fontId="21" fillId="2" borderId="35" xfId="0" applyFont="1" applyFill="1" applyBorder="1" applyAlignment="1">
      <alignment horizontal="center" vertical="center"/>
    </xf>
    <xf numFmtId="0" fontId="22" fillId="2" borderId="35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 wrapText="1"/>
    </xf>
    <xf numFmtId="0" fontId="7" fillId="2" borderId="3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57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55" xfId="0" applyNumberForma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181" fontId="0" fillId="0" borderId="0" xfId="0" applyNumberForma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6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left" vertical="top" wrapText="1"/>
    </xf>
    <xf numFmtId="0" fontId="25" fillId="0" borderId="6" xfId="0" applyFont="1" applyBorder="1" applyAlignment="1">
      <alignment horizontal="left" vertical="top" wrapText="1"/>
    </xf>
    <xf numFmtId="0" fontId="0" fillId="0" borderId="57" xfId="0" applyFill="1" applyBorder="1" applyAlignment="1">
      <alignment horizontal="center" vertical="center"/>
    </xf>
    <xf numFmtId="0" fontId="0" fillId="0" borderId="63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  <xf numFmtId="0" fontId="0" fillId="0" borderId="5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82" fontId="0" fillId="0" borderId="57" xfId="0" applyNumberFormat="1" applyFill="1" applyBorder="1" applyAlignment="1">
      <alignment horizontal="right" vertical="center"/>
    </xf>
    <xf numFmtId="182" fontId="0" fillId="0" borderId="58" xfId="0" applyNumberFormat="1" applyFill="1" applyBorder="1" applyAlignment="1">
      <alignment horizontal="right" vertical="center"/>
    </xf>
    <xf numFmtId="182" fontId="0" fillId="0" borderId="63" xfId="0" applyNumberFormat="1" applyFill="1" applyBorder="1" applyAlignment="1">
      <alignment horizontal="right" vertical="center"/>
    </xf>
    <xf numFmtId="179" fontId="0" fillId="0" borderId="1" xfId="0" applyNumberFormat="1" applyFill="1" applyBorder="1" applyAlignment="1">
      <alignment horizontal="center" vertical="center"/>
    </xf>
    <xf numFmtId="179" fontId="0" fillId="0" borderId="7" xfId="0" applyNumberFormat="1" applyFill="1" applyBorder="1" applyAlignment="1">
      <alignment horizontal="center" vertical="center"/>
    </xf>
    <xf numFmtId="0" fontId="0" fillId="0" borderId="65" xfId="0" applyFill="1" applyBorder="1" applyAlignment="1">
      <alignment horizontal="left" vertical="center"/>
    </xf>
    <xf numFmtId="0" fontId="0" fillId="0" borderId="66" xfId="0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0" fontId="0" fillId="0" borderId="7" xfId="0" applyFill="1" applyBorder="1" applyAlignment="1">
      <alignment horizontal="center" vertical="center"/>
    </xf>
    <xf numFmtId="182" fontId="0" fillId="0" borderId="6" xfId="0" applyNumberFormat="1" applyFill="1" applyBorder="1" applyAlignment="1">
      <alignment horizontal="right" vertical="center"/>
    </xf>
    <xf numFmtId="182" fontId="0" fillId="0" borderId="56" xfId="0" applyNumberFormat="1" applyFill="1" applyBorder="1" applyAlignment="1">
      <alignment horizontal="right" vertical="center"/>
    </xf>
    <xf numFmtId="182" fontId="0" fillId="0" borderId="55" xfId="0" applyNumberFormat="1" applyFill="1" applyBorder="1" applyAlignment="1">
      <alignment horizontal="right" vertical="center"/>
    </xf>
    <xf numFmtId="182" fontId="25" fillId="0" borderId="32" xfId="0" applyNumberFormat="1" applyFont="1" applyFill="1" applyBorder="1" applyAlignment="1">
      <alignment horizontal="center" vertical="center" wrapText="1"/>
    </xf>
    <xf numFmtId="182" fontId="25" fillId="0" borderId="37" xfId="0" applyNumberFormat="1" applyFont="1" applyFill="1" applyBorder="1" applyAlignment="1">
      <alignment horizontal="center" vertical="center" wrapText="1"/>
    </xf>
    <xf numFmtId="182" fontId="25" fillId="0" borderId="67" xfId="0" applyNumberFormat="1" applyFont="1" applyFill="1" applyBorder="1" applyAlignment="1">
      <alignment horizontal="center" vertical="center" wrapText="1"/>
    </xf>
    <xf numFmtId="182" fontId="7" fillId="0" borderId="33" xfId="0" applyNumberFormat="1" applyFont="1" applyFill="1" applyBorder="1" applyAlignment="1">
      <alignment horizontal="left" vertical="center" wrapText="1"/>
    </xf>
    <xf numFmtId="182" fontId="3" fillId="0" borderId="36" xfId="0" applyNumberFormat="1" applyFont="1" applyFill="1" applyBorder="1" applyAlignment="1">
      <alignment horizontal="left" vertical="center" wrapText="1"/>
    </xf>
    <xf numFmtId="182" fontId="3" fillId="0" borderId="34" xfId="0" applyNumberFormat="1" applyFont="1" applyFill="1" applyBorder="1" applyAlignment="1">
      <alignment horizontal="left" vertical="center" wrapText="1"/>
    </xf>
    <xf numFmtId="182" fontId="3" fillId="0" borderId="38" xfId="0" applyNumberFormat="1" applyFont="1" applyFill="1" applyBorder="1" applyAlignment="1">
      <alignment horizontal="left" vertical="center" wrapText="1"/>
    </xf>
    <xf numFmtId="182" fontId="3" fillId="0" borderId="0" xfId="0" applyNumberFormat="1" applyFont="1" applyFill="1" applyBorder="1" applyAlignment="1">
      <alignment horizontal="left" vertical="center" wrapText="1"/>
    </xf>
    <xf numFmtId="182" fontId="3" fillId="0" borderId="39" xfId="0" applyNumberFormat="1" applyFont="1" applyFill="1" applyBorder="1" applyAlignment="1">
      <alignment horizontal="left" vertical="center" wrapText="1"/>
    </xf>
    <xf numFmtId="182" fontId="3" fillId="0" borderId="41" xfId="0" applyNumberFormat="1" applyFont="1" applyFill="1" applyBorder="1" applyAlignment="1">
      <alignment horizontal="left" vertical="center" wrapText="1"/>
    </xf>
    <xf numFmtId="182" fontId="3" fillId="0" borderId="42" xfId="0" applyNumberFormat="1" applyFont="1" applyFill="1" applyBorder="1" applyAlignment="1">
      <alignment horizontal="left" vertical="center" wrapText="1"/>
    </xf>
    <xf numFmtId="182" fontId="3" fillId="0" borderId="43" xfId="0" applyNumberFormat="1" applyFont="1" applyFill="1" applyBorder="1" applyAlignment="1">
      <alignment horizontal="left" vertical="center" wrapText="1"/>
    </xf>
    <xf numFmtId="182" fontId="7" fillId="0" borderId="33" xfId="0" applyNumberFormat="1" applyFont="1" applyFill="1" applyBorder="1" applyAlignment="1">
      <alignment horizontal="center" vertical="center" wrapText="1"/>
    </xf>
    <xf numFmtId="182" fontId="3" fillId="0" borderId="36" xfId="0" applyNumberFormat="1" applyFont="1" applyFill="1" applyBorder="1" applyAlignment="1">
      <alignment horizontal="center" vertical="center" wrapText="1"/>
    </xf>
    <xf numFmtId="182" fontId="3" fillId="0" borderId="34" xfId="0" applyNumberFormat="1" applyFont="1" applyFill="1" applyBorder="1" applyAlignment="1">
      <alignment horizontal="center" vertical="center" wrapText="1"/>
    </xf>
    <xf numFmtId="182" fontId="3" fillId="0" borderId="41" xfId="0" applyNumberFormat="1" applyFont="1" applyFill="1" applyBorder="1" applyAlignment="1">
      <alignment horizontal="center" vertical="center" wrapText="1"/>
    </xf>
    <xf numFmtId="182" fontId="3" fillId="0" borderId="42" xfId="0" applyNumberFormat="1" applyFont="1" applyFill="1" applyBorder="1" applyAlignment="1">
      <alignment horizontal="center" vertical="center" wrapText="1"/>
    </xf>
    <xf numFmtId="182" fontId="3" fillId="0" borderId="43" xfId="0" applyNumberFormat="1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wrapText="1"/>
    </xf>
    <xf numFmtId="0" fontId="22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center" vertical="top"/>
    </xf>
    <xf numFmtId="0" fontId="22" fillId="0" borderId="0" xfId="0" applyFont="1" applyFill="1" applyBorder="1" applyAlignment="1">
      <alignment horizontal="center" vertical="top"/>
    </xf>
    <xf numFmtId="0" fontId="22" fillId="0" borderId="39" xfId="0" applyFont="1" applyFill="1" applyBorder="1" applyAlignment="1">
      <alignment horizontal="center" vertical="top"/>
    </xf>
    <xf numFmtId="0" fontId="22" fillId="0" borderId="59" xfId="0" applyFont="1" applyFill="1" applyBorder="1" applyAlignment="1">
      <alignment horizontal="center" vertical="top"/>
    </xf>
    <xf numFmtId="0" fontId="22" fillId="0" borderId="60" xfId="0" applyFont="1" applyFill="1" applyBorder="1" applyAlignment="1">
      <alignment horizontal="center" vertical="top"/>
    </xf>
    <xf numFmtId="0" fontId="22" fillId="0" borderId="61" xfId="0" applyFont="1" applyFill="1" applyBorder="1" applyAlignment="1">
      <alignment horizontal="center" vertical="top"/>
    </xf>
    <xf numFmtId="182" fontId="25" fillId="0" borderId="65" xfId="0" applyNumberFormat="1" applyFont="1" applyFill="1" applyBorder="1" applyAlignment="1">
      <alignment horizontal="center" vertical="center"/>
    </xf>
    <xf numFmtId="182" fontId="25" fillId="0" borderId="64" xfId="0" applyNumberFormat="1" applyFont="1" applyFill="1" applyBorder="1" applyAlignment="1">
      <alignment horizontal="center" vertical="center"/>
    </xf>
    <xf numFmtId="182" fontId="25" fillId="0" borderId="66" xfId="0" applyNumberFormat="1" applyFont="1" applyFill="1" applyBorder="1" applyAlignment="1">
      <alignment horizontal="center" vertical="center"/>
    </xf>
    <xf numFmtId="179" fontId="25" fillId="0" borderId="57" xfId="0" applyNumberFormat="1" applyFont="1" applyFill="1" applyBorder="1" applyAlignment="1">
      <alignment horizontal="left" vertical="top" wrapText="1"/>
    </xf>
    <xf numFmtId="179" fontId="25" fillId="0" borderId="63" xfId="0" applyNumberFormat="1" applyFont="1" applyFill="1" applyBorder="1" applyAlignment="1">
      <alignment horizontal="left" vertical="top" wrapText="1"/>
    </xf>
    <xf numFmtId="179" fontId="25" fillId="0" borderId="58" xfId="0" applyNumberFormat="1" applyFont="1" applyFill="1" applyBorder="1" applyAlignment="1">
      <alignment horizontal="left" vertical="top" wrapText="1"/>
    </xf>
    <xf numFmtId="0" fontId="0" fillId="0" borderId="65" xfId="0" applyFill="1" applyBorder="1" applyAlignment="1">
      <alignment horizontal="center" vertical="center"/>
    </xf>
    <xf numFmtId="0" fontId="0" fillId="0" borderId="64" xfId="0" applyFill="1" applyBorder="1" applyAlignment="1">
      <alignment horizontal="center" vertical="center"/>
    </xf>
    <xf numFmtId="0" fontId="0" fillId="0" borderId="66" xfId="0" applyFill="1" applyBorder="1" applyAlignment="1">
      <alignment horizontal="center" vertical="center"/>
    </xf>
    <xf numFmtId="182" fontId="25" fillId="0" borderId="38" xfId="0" applyNumberFormat="1" applyFont="1" applyFill="1" applyBorder="1" applyAlignment="1">
      <alignment horizontal="center" vertical="center"/>
    </xf>
    <xf numFmtId="182" fontId="25" fillId="0" borderId="0" xfId="0" applyNumberFormat="1" applyFont="1" applyFill="1" applyBorder="1" applyAlignment="1">
      <alignment horizontal="center" vertical="center"/>
    </xf>
    <xf numFmtId="182" fontId="25" fillId="0" borderId="39" xfId="0" applyNumberFormat="1" applyFont="1" applyFill="1" applyBorder="1" applyAlignment="1">
      <alignment horizontal="center" vertical="center"/>
    </xf>
    <xf numFmtId="179" fontId="25" fillId="0" borderId="3" xfId="0" applyNumberFormat="1" applyFont="1" applyFill="1" applyBorder="1" applyAlignment="1">
      <alignment horizontal="left" vertical="top" wrapText="1"/>
    </xf>
    <xf numFmtId="179" fontId="25" fillId="0" borderId="35" xfId="0" applyNumberFormat="1" applyFont="1" applyFill="1" applyBorder="1" applyAlignment="1">
      <alignment horizontal="left" vertical="top" wrapText="1"/>
    </xf>
    <xf numFmtId="179" fontId="25" fillId="0" borderId="4" xfId="0" applyNumberFormat="1" applyFont="1" applyFill="1" applyBorder="1" applyAlignment="1">
      <alignment horizontal="left" vertical="top" wrapText="1"/>
    </xf>
    <xf numFmtId="178" fontId="0" fillId="0" borderId="38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8" fontId="0" fillId="0" borderId="39" xfId="0" applyNumberFormat="1" applyFill="1" applyBorder="1" applyAlignment="1">
      <alignment horizontal="center" vertical="center"/>
    </xf>
    <xf numFmtId="178" fontId="0" fillId="0" borderId="59" xfId="0" applyNumberFormat="1" applyFill="1" applyBorder="1" applyAlignment="1">
      <alignment horizontal="center" vertical="center"/>
    </xf>
    <xf numFmtId="178" fontId="0" fillId="0" borderId="60" xfId="0" applyNumberFormat="1" applyFill="1" applyBorder="1" applyAlignment="1">
      <alignment horizontal="center" vertical="center"/>
    </xf>
    <xf numFmtId="178" fontId="0" fillId="0" borderId="61" xfId="0" applyNumberFormat="1" applyFill="1" applyBorder="1" applyAlignment="1">
      <alignment horizontal="center" vertical="center"/>
    </xf>
    <xf numFmtId="182" fontId="25" fillId="0" borderId="59" xfId="0" applyNumberFormat="1" applyFont="1" applyFill="1" applyBorder="1" applyAlignment="1">
      <alignment horizontal="center" vertical="center"/>
    </xf>
    <xf numFmtId="182" fontId="25" fillId="0" borderId="60" xfId="0" applyNumberFormat="1" applyFont="1" applyFill="1" applyBorder="1" applyAlignment="1">
      <alignment horizontal="center" vertical="center"/>
    </xf>
    <xf numFmtId="182" fontId="25" fillId="0" borderId="61" xfId="0" applyNumberFormat="1" applyFont="1" applyFill="1" applyBorder="1" applyAlignment="1">
      <alignment horizontal="center" vertical="center"/>
    </xf>
    <xf numFmtId="179" fontId="25" fillId="0" borderId="6" xfId="0" applyNumberFormat="1" applyFont="1" applyFill="1" applyBorder="1" applyAlignment="1">
      <alignment horizontal="left" vertical="top" wrapText="1"/>
    </xf>
    <xf numFmtId="179" fontId="25" fillId="0" borderId="55" xfId="0" applyNumberFormat="1" applyFont="1" applyFill="1" applyBorder="1" applyAlignment="1">
      <alignment horizontal="left" vertical="top" wrapText="1"/>
    </xf>
    <xf numFmtId="179" fontId="25" fillId="0" borderId="56" xfId="0" applyNumberFormat="1" applyFont="1" applyFill="1" applyBorder="1" applyAlignment="1">
      <alignment horizontal="left" vertical="top" wrapText="1"/>
    </xf>
    <xf numFmtId="0" fontId="22" fillId="0" borderId="32" xfId="0" applyFont="1" applyFill="1" applyBorder="1" applyAlignment="1">
      <alignment horizontal="left" vertical="center" wrapText="1"/>
    </xf>
    <xf numFmtId="0" fontId="22" fillId="0" borderId="37" xfId="0" applyFont="1" applyFill="1" applyBorder="1" applyAlignment="1">
      <alignment horizontal="left" vertical="center" wrapText="1"/>
    </xf>
    <xf numFmtId="182" fontId="22" fillId="0" borderId="32" xfId="0" applyNumberFormat="1" applyFont="1" applyFill="1" applyBorder="1" applyAlignment="1">
      <alignment horizontal="center" vertical="center" wrapText="1"/>
    </xf>
    <xf numFmtId="182" fontId="22" fillId="0" borderId="37" xfId="0" applyNumberFormat="1" applyFont="1" applyFill="1" applyBorder="1" applyAlignment="1">
      <alignment horizontal="center" vertical="center" wrapText="1"/>
    </xf>
    <xf numFmtId="182" fontId="22" fillId="0" borderId="67" xfId="0" applyNumberFormat="1" applyFont="1" applyFill="1" applyBorder="1" applyAlignment="1">
      <alignment horizontal="center" vertical="center" wrapText="1"/>
    </xf>
    <xf numFmtId="182" fontId="22" fillId="0" borderId="33" xfId="0" applyNumberFormat="1" applyFont="1" applyFill="1" applyBorder="1" applyAlignment="1">
      <alignment horizontal="center" vertical="center" wrapText="1"/>
    </xf>
    <xf numFmtId="182" fontId="22" fillId="0" borderId="36" xfId="0" applyNumberFormat="1" applyFont="1" applyFill="1" applyBorder="1" applyAlignment="1">
      <alignment horizontal="center" vertical="center" wrapText="1"/>
    </xf>
    <xf numFmtId="182" fontId="22" fillId="0" borderId="34" xfId="0" applyNumberFormat="1" applyFont="1" applyFill="1" applyBorder="1" applyAlignment="1">
      <alignment horizontal="center" vertical="center" wrapText="1"/>
    </xf>
    <xf numFmtId="182" fontId="22" fillId="0" borderId="41" xfId="0" applyNumberFormat="1" applyFont="1" applyFill="1" applyBorder="1" applyAlignment="1">
      <alignment horizontal="center" vertical="center" wrapText="1"/>
    </xf>
    <xf numFmtId="182" fontId="22" fillId="0" borderId="42" xfId="0" applyNumberFormat="1" applyFont="1" applyFill="1" applyBorder="1" applyAlignment="1">
      <alignment horizontal="center" vertical="center" wrapText="1"/>
    </xf>
    <xf numFmtId="182" fontId="22" fillId="0" borderId="43" xfId="0" applyNumberFormat="1" applyFont="1" applyFill="1" applyBorder="1" applyAlignment="1">
      <alignment horizontal="center" vertical="center" wrapText="1"/>
    </xf>
    <xf numFmtId="0" fontId="22" fillId="0" borderId="32" xfId="0" applyFont="1" applyFill="1" applyBorder="1" applyAlignment="1">
      <alignment horizontal="center" vertical="center"/>
    </xf>
    <xf numFmtId="0" fontId="22" fillId="0" borderId="67" xfId="0" applyFont="1" applyFill="1" applyBorder="1" applyAlignment="1">
      <alignment horizontal="center"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67" xfId="0" applyFont="1" applyFill="1" applyBorder="1" applyAlignment="1">
      <alignment horizontal="center" vertical="center" wrapText="1"/>
    </xf>
    <xf numFmtId="0" fontId="35" fillId="0" borderId="38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5" fillId="0" borderId="39" xfId="0" applyFont="1" applyFill="1" applyBorder="1" applyAlignment="1">
      <alignment horizontal="left" vertical="center" wrapText="1"/>
    </xf>
    <xf numFmtId="182" fontId="36" fillId="0" borderId="33" xfId="0" applyNumberFormat="1" applyFont="1" applyFill="1" applyBorder="1" applyAlignment="1">
      <alignment horizontal="center" vertical="center" wrapText="1"/>
    </xf>
    <xf numFmtId="182" fontId="36" fillId="0" borderId="36" xfId="0" applyNumberFormat="1" applyFont="1" applyFill="1" applyBorder="1" applyAlignment="1">
      <alignment horizontal="center" vertical="center" wrapText="1"/>
    </xf>
    <xf numFmtId="182" fontId="36" fillId="0" borderId="34" xfId="0" applyNumberFormat="1" applyFont="1" applyFill="1" applyBorder="1" applyAlignment="1">
      <alignment horizontal="center" vertical="center" wrapText="1"/>
    </xf>
    <xf numFmtId="182" fontId="36" fillId="0" borderId="41" xfId="0" applyNumberFormat="1" applyFont="1" applyFill="1" applyBorder="1" applyAlignment="1">
      <alignment horizontal="center" vertical="center" wrapText="1"/>
    </xf>
    <xf numFmtId="182" fontId="36" fillId="0" borderId="42" xfId="0" applyNumberFormat="1" applyFont="1" applyFill="1" applyBorder="1" applyAlignment="1">
      <alignment horizontal="center" vertical="center" wrapText="1"/>
    </xf>
    <xf numFmtId="182" fontId="36" fillId="0" borderId="43" xfId="0" applyNumberFormat="1" applyFont="1" applyFill="1" applyBorder="1" applyAlignment="1">
      <alignment horizontal="center" vertical="center" wrapText="1"/>
    </xf>
    <xf numFmtId="182" fontId="0" fillId="0" borderId="32" xfId="0" applyNumberFormat="1" applyFont="1" applyFill="1" applyBorder="1" applyAlignment="1">
      <alignment horizontal="center" vertical="center" wrapText="1"/>
    </xf>
    <xf numFmtId="182" fontId="37" fillId="0" borderId="67" xfId="0" applyNumberFormat="1" applyFont="1" applyFill="1" applyBorder="1" applyAlignment="1">
      <alignment horizontal="center" vertical="center" wrapText="1"/>
    </xf>
    <xf numFmtId="182" fontId="37" fillId="0" borderId="33" xfId="0" applyNumberFormat="1" applyFont="1" applyFill="1" applyBorder="1" applyAlignment="1">
      <alignment horizontal="center" vertical="center" wrapText="1"/>
    </xf>
    <xf numFmtId="182" fontId="37" fillId="0" borderId="36" xfId="0" applyNumberFormat="1" applyFont="1" applyFill="1" applyBorder="1" applyAlignment="1">
      <alignment horizontal="center" vertical="center" wrapText="1"/>
    </xf>
    <xf numFmtId="182" fontId="37" fillId="0" borderId="34" xfId="0" applyNumberFormat="1" applyFont="1" applyFill="1" applyBorder="1" applyAlignment="1">
      <alignment horizontal="center" vertical="center" wrapText="1"/>
    </xf>
    <xf numFmtId="182" fontId="37" fillId="0" borderId="41" xfId="0" applyNumberFormat="1" applyFont="1" applyFill="1" applyBorder="1" applyAlignment="1">
      <alignment horizontal="center" vertical="center" wrapText="1"/>
    </xf>
    <xf numFmtId="182" fontId="37" fillId="0" borderId="42" xfId="0" applyNumberFormat="1" applyFont="1" applyFill="1" applyBorder="1" applyAlignment="1">
      <alignment horizontal="center" vertical="center" wrapText="1"/>
    </xf>
    <xf numFmtId="182" fontId="37" fillId="0" borderId="43" xfId="0" applyNumberFormat="1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3" fillId="0" borderId="34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182" fontId="0" fillId="0" borderId="33" xfId="0" applyNumberFormat="1" applyFill="1" applyBorder="1" applyAlignment="1">
      <alignment horizontal="center" vertical="center" wrapText="1"/>
    </xf>
    <xf numFmtId="182" fontId="0" fillId="0" borderId="36" xfId="0" applyNumberFormat="1" applyFill="1" applyBorder="1" applyAlignment="1">
      <alignment horizontal="center" vertical="center" wrapText="1"/>
    </xf>
    <xf numFmtId="182" fontId="0" fillId="0" borderId="34" xfId="0" applyNumberFormat="1" applyFill="1" applyBorder="1" applyAlignment="1">
      <alignment horizontal="center" vertical="center" wrapText="1"/>
    </xf>
    <xf numFmtId="182" fontId="0" fillId="0" borderId="59" xfId="0" applyNumberFormat="1" applyFill="1" applyBorder="1" applyAlignment="1">
      <alignment horizontal="center" vertical="center" wrapText="1"/>
    </xf>
    <xf numFmtId="182" fontId="0" fillId="0" borderId="60" xfId="0" applyNumberFormat="1" applyFill="1" applyBorder="1" applyAlignment="1">
      <alignment horizontal="center" vertical="center" wrapText="1"/>
    </xf>
    <xf numFmtId="182" fontId="0" fillId="0" borderId="61" xfId="0" applyNumberFormat="1" applyFill="1" applyBorder="1" applyAlignment="1">
      <alignment horizontal="center" vertical="center" wrapText="1"/>
    </xf>
    <xf numFmtId="0" fontId="40" fillId="0" borderId="5" xfId="0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left"/>
    </xf>
    <xf numFmtId="0" fontId="0" fillId="0" borderId="52" xfId="0" applyFill="1" applyBorder="1" applyAlignment="1">
      <alignment horizontal="left"/>
    </xf>
    <xf numFmtId="0" fontId="21" fillId="0" borderId="2" xfId="0" applyFont="1" applyFill="1" applyBorder="1" applyAlignment="1">
      <alignment horizontal="left" vertical="center"/>
    </xf>
    <xf numFmtId="0" fontId="22" fillId="0" borderId="2" xfId="0" applyFont="1" applyFill="1" applyBorder="1" applyAlignment="1">
      <alignment horizontal="left" vertical="center"/>
    </xf>
    <xf numFmtId="0" fontId="22" fillId="0" borderId="37" xfId="0" applyFont="1" applyFill="1" applyBorder="1" applyAlignment="1">
      <alignment horizontal="left" vertical="center"/>
    </xf>
    <xf numFmtId="182" fontId="22" fillId="0" borderId="2" xfId="0" applyNumberFormat="1" applyFont="1" applyFill="1" applyBorder="1" applyAlignment="1">
      <alignment horizontal="left" vertical="center"/>
    </xf>
    <xf numFmtId="182" fontId="22" fillId="0" borderId="37" xfId="0" applyNumberFormat="1" applyFont="1" applyFill="1" applyBorder="1" applyAlignment="1">
      <alignment horizontal="left" vertical="center"/>
    </xf>
    <xf numFmtId="182" fontId="22" fillId="0" borderId="65" xfId="0" applyNumberFormat="1" applyFont="1" applyFill="1" applyBorder="1" applyAlignment="1">
      <alignment horizontal="center" vertical="center"/>
    </xf>
    <xf numFmtId="182" fontId="22" fillId="0" borderId="64" xfId="0" applyNumberFormat="1" applyFont="1" applyFill="1" applyBorder="1" applyAlignment="1">
      <alignment horizontal="center" vertical="center"/>
    </xf>
    <xf numFmtId="182" fontId="22" fillId="0" borderId="66" xfId="0" applyNumberFormat="1" applyFont="1" applyFill="1" applyBorder="1" applyAlignment="1">
      <alignment horizontal="center" vertical="center"/>
    </xf>
    <xf numFmtId="182" fontId="22" fillId="0" borderId="41" xfId="0" applyNumberFormat="1" applyFont="1" applyFill="1" applyBorder="1" applyAlignment="1">
      <alignment horizontal="center" vertical="center"/>
    </xf>
    <xf numFmtId="182" fontId="22" fillId="0" borderId="42" xfId="0" applyNumberFormat="1" applyFont="1" applyFill="1" applyBorder="1" applyAlignment="1">
      <alignment horizontal="center" vertical="center"/>
    </xf>
    <xf numFmtId="182" fontId="22" fillId="0" borderId="43" xfId="0" applyNumberFormat="1" applyFont="1" applyFill="1" applyBorder="1" applyAlignment="1">
      <alignment horizontal="center" vertical="center"/>
    </xf>
    <xf numFmtId="0" fontId="22" fillId="0" borderId="37" xfId="0" applyFont="1" applyFill="1" applyBorder="1" applyAlignment="1">
      <alignment horizontal="center" vertical="center" wrapText="1"/>
    </xf>
    <xf numFmtId="0" fontId="22" fillId="0" borderId="67" xfId="0" applyFont="1" applyFill="1" applyBorder="1" applyAlignment="1">
      <alignment horizontal="center" vertical="center" wrapText="1"/>
    </xf>
    <xf numFmtId="182" fontId="22" fillId="0" borderId="38" xfId="0" applyNumberFormat="1" applyFont="1" applyFill="1" applyBorder="1" applyAlignment="1">
      <alignment horizontal="right" vertical="center" wrapText="1"/>
    </xf>
    <xf numFmtId="182" fontId="22" fillId="0" borderId="41" xfId="0" applyNumberFormat="1" applyFont="1" applyFill="1" applyBorder="1" applyAlignment="1">
      <alignment horizontal="right" vertical="center" wrapText="1"/>
    </xf>
    <xf numFmtId="182" fontId="34" fillId="0" borderId="0" xfId="0" applyNumberFormat="1" applyFont="1" applyFill="1" applyBorder="1" applyAlignment="1">
      <alignment horizontal="center" vertical="center" wrapText="1"/>
    </xf>
    <xf numFmtId="182" fontId="34" fillId="0" borderId="39" xfId="0" applyNumberFormat="1" applyFont="1" applyFill="1" applyBorder="1" applyAlignment="1">
      <alignment horizontal="center" vertical="center" wrapText="1"/>
    </xf>
    <xf numFmtId="182" fontId="34" fillId="0" borderId="42" xfId="0" applyNumberFormat="1" applyFont="1" applyFill="1" applyBorder="1" applyAlignment="1">
      <alignment horizontal="center" vertical="center" wrapText="1"/>
    </xf>
    <xf numFmtId="182" fontId="34" fillId="0" borderId="43" xfId="0" applyNumberFormat="1" applyFont="1" applyFill="1" applyBorder="1" applyAlignment="1">
      <alignment horizontal="center" vertical="center" wrapText="1"/>
    </xf>
    <xf numFmtId="181" fontId="21" fillId="0" borderId="33" xfId="0" applyNumberFormat="1" applyFont="1" applyFill="1" applyBorder="1" applyAlignment="1">
      <alignment horizontal="center" vertical="center"/>
    </xf>
    <xf numFmtId="181" fontId="21" fillId="0" borderId="36" xfId="0" applyNumberFormat="1" applyFont="1" applyFill="1" applyBorder="1" applyAlignment="1">
      <alignment horizontal="center" vertical="center"/>
    </xf>
    <xf numFmtId="181" fontId="21" fillId="0" borderId="34" xfId="0" applyNumberFormat="1" applyFont="1" applyFill="1" applyBorder="1" applyAlignment="1">
      <alignment horizontal="center" vertical="center"/>
    </xf>
    <xf numFmtId="181" fontId="21" fillId="0" borderId="41" xfId="0" applyNumberFormat="1" applyFont="1" applyFill="1" applyBorder="1" applyAlignment="1">
      <alignment horizontal="center" vertical="center"/>
    </xf>
    <xf numFmtId="181" fontId="21" fillId="0" borderId="42" xfId="0" applyNumberFormat="1" applyFont="1" applyFill="1" applyBorder="1" applyAlignment="1">
      <alignment horizontal="center" vertical="center"/>
    </xf>
    <xf numFmtId="181" fontId="21" fillId="0" borderId="43" xfId="0" applyNumberFormat="1" applyFont="1" applyFill="1" applyBorder="1" applyAlignment="1">
      <alignment horizontal="center" vertical="center"/>
    </xf>
    <xf numFmtId="0" fontId="20" fillId="0" borderId="60" xfId="0" applyFont="1" applyFill="1" applyBorder="1" applyAlignment="1">
      <alignment horizontal="center" vertical="center"/>
    </xf>
    <xf numFmtId="182" fontId="0" fillId="0" borderId="1" xfId="0" applyNumberFormat="1" applyFill="1" applyBorder="1" applyAlignment="1">
      <alignment horizontal="center" vertical="center"/>
    </xf>
    <xf numFmtId="182" fontId="25" fillId="0" borderId="1" xfId="0" applyNumberFormat="1" applyFont="1" applyFill="1" applyBorder="1" applyAlignment="1">
      <alignment horizontal="center" vertical="center" wrapText="1"/>
    </xf>
    <xf numFmtId="182" fontId="25" fillId="0" borderId="5" xfId="0" applyNumberFormat="1" applyFont="1" applyFill="1" applyBorder="1" applyAlignment="1">
      <alignment horizontal="center" vertical="center" wrapText="1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center"/>
    </xf>
  </cellXfs>
  <cellStyles count="5">
    <cellStyle name="백분율" xfId="1" builtinId="5"/>
    <cellStyle name="표준" xfId="0" builtinId="0"/>
    <cellStyle name="표준 2" xfId="2"/>
    <cellStyle name="표준 2 2" xfId="3"/>
    <cellStyle name="표준 3" xfId="4"/>
  </cellStyles>
  <dxfs count="150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D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[0803020911_18v3]  스마트문화앱UX설계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'전체 훈련생 평가 채점표'!$F$8</c:f>
              <c:strCache>
                <c:ptCount val="1"/>
                <c:pt idx="0">
                  <c:v>포트폴리오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채점표'!$F$9:$F$38</c15:sqref>
                  </c15:fullRef>
                </c:ext>
              </c:extLst>
              <c:f>'전체 훈련생 평가 채점표'!$F$9:$F$35</c:f>
              <c:numCache>
                <c:formatCode>0.0_);[Red]\(0.0\)</c:formatCode>
                <c:ptCount val="27"/>
                <c:pt idx="0">
                  <c:v>82.857142857142861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91.428571428571431</c:v>
                </c:pt>
                <c:pt idx="6">
                  <c:v>87.142857142857139</c:v>
                </c:pt>
                <c:pt idx="7">
                  <c:v>87.142857142857139</c:v>
                </c:pt>
                <c:pt idx="8">
                  <c:v>91.428571428571431</c:v>
                </c:pt>
                <c:pt idx="9">
                  <c:v>82.857142857142861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87.142857142857139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  <c:pt idx="16">
                  <c:v>78.571428571428569</c:v>
                </c:pt>
                <c:pt idx="17">
                  <c:v>87.142857142857139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8-4CD6-BC39-24A610122C57}"/>
            </c:ext>
          </c:extLst>
        </c:ser>
        <c:ser>
          <c:idx val="1"/>
          <c:order val="1"/>
          <c:tx>
            <c:strRef>
              <c:f>'전체 훈련생 평가 채점표'!$G$8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채점표'!$G$9:$G$38</c15:sqref>
                  </c15:fullRef>
                </c:ext>
              </c:extLst>
              <c:f>'전체 훈련생 평가 채점표'!$G$9:$G$35</c:f>
              <c:numCache>
                <c:formatCode>0.0_);[Red]\(0.0\)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8-4CD6-BC39-24A610122C57}"/>
            </c:ext>
          </c:extLst>
        </c:ser>
        <c:ser>
          <c:idx val="2"/>
          <c:order val="2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채점표'!$H$9:$H$35</c:f>
              <c:numCache>
                <c:formatCode>0.0_);[Red]\(0.0\)</c:formatCode>
                <c:ptCount val="27"/>
                <c:pt idx="0">
                  <c:v>82.857142857142861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91.428571428571431</c:v>
                </c:pt>
                <c:pt idx="6">
                  <c:v>87.142857142857139</c:v>
                </c:pt>
                <c:pt idx="7">
                  <c:v>87.142857142857139</c:v>
                </c:pt>
                <c:pt idx="8">
                  <c:v>91.428571428571431</c:v>
                </c:pt>
                <c:pt idx="9">
                  <c:v>82.857142857142861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87.142857142857139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  <c:pt idx="16">
                  <c:v>78.571428571428569</c:v>
                </c:pt>
                <c:pt idx="17">
                  <c:v>87.142857142857139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8-4CD6-BC39-24A610122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094656"/>
        <c:axId val="155612224"/>
      </c:barChart>
      <c:catAx>
        <c:axId val="19309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2224"/>
        <c:crosses val="autoZero"/>
        <c:auto val="1"/>
        <c:lblAlgn val="ctr"/>
        <c:lblOffset val="100"/>
        <c:noMultiLvlLbl val="0"/>
      </c:catAx>
      <c:valAx>
        <c:axId val="1556122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[0803020911_18v3]  스마트문화앱UX설계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82.857142857142861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91.428571428571431</c:v>
                </c:pt>
                <c:pt idx="6">
                  <c:v>87.142857142857139</c:v>
                </c:pt>
                <c:pt idx="7">
                  <c:v>87.142857142857139</c:v>
                </c:pt>
                <c:pt idx="8">
                  <c:v>91.428571428571431</c:v>
                </c:pt>
                <c:pt idx="9">
                  <c:v>82.857142857142861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87.142857142857139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D07A-4348-B785-2130A21A3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3096192"/>
        <c:axId val="1556139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07A-4348-B785-2130A21A32B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포트폴리오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82.857142857142861</c:v>
                      </c:pt>
                      <c:pt idx="1">
                        <c:v>87.142857142857139</c:v>
                      </c:pt>
                      <c:pt idx="2">
                        <c:v>91.428571428571431</c:v>
                      </c:pt>
                      <c:pt idx="3">
                        <c:v>82.857142857142861</c:v>
                      </c:pt>
                      <c:pt idx="4">
                        <c:v>91.428571428571431</c:v>
                      </c:pt>
                      <c:pt idx="5">
                        <c:v>91.428571428571431</c:v>
                      </c:pt>
                      <c:pt idx="6">
                        <c:v>87.142857142857139</c:v>
                      </c:pt>
                      <c:pt idx="7">
                        <c:v>87.142857142857139</c:v>
                      </c:pt>
                      <c:pt idx="8">
                        <c:v>91.428571428571431</c:v>
                      </c:pt>
                      <c:pt idx="9">
                        <c:v>82.857142857142861</c:v>
                      </c:pt>
                      <c:pt idx="10">
                        <c:v>82.857142857142861</c:v>
                      </c:pt>
                      <c:pt idx="11">
                        <c:v>78.571428571428569</c:v>
                      </c:pt>
                      <c:pt idx="12">
                        <c:v>87.142857142857139</c:v>
                      </c:pt>
                      <c:pt idx="13">
                        <c:v>95.714285714285722</c:v>
                      </c:pt>
                      <c:pt idx="14">
                        <c:v>91.428571428571431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7A-4348-B785-2130A21A32B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07A-4348-B785-2130A21A32B0}"/>
                  </c:ext>
                </c:extLst>
              </c15:ser>
            </c15:filteredBarSeries>
          </c:ext>
        </c:extLst>
      </c:barChart>
      <c:catAx>
        <c:axId val="193096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3952"/>
        <c:crosses val="autoZero"/>
        <c:auto val="1"/>
        <c:lblAlgn val="ctr"/>
        <c:lblOffset val="100"/>
        <c:noMultiLvlLbl val="0"/>
      </c:catAx>
      <c:valAx>
        <c:axId val="15561395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619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[0803020911_18v3]  스마트문화앱UX설계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82.857142857142861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91.428571428571431</c:v>
                </c:pt>
                <c:pt idx="6">
                  <c:v>87.142857142857139</c:v>
                </c:pt>
                <c:pt idx="7">
                  <c:v>87.142857142857139</c:v>
                </c:pt>
                <c:pt idx="8">
                  <c:v>91.428571428571431</c:v>
                </c:pt>
                <c:pt idx="9">
                  <c:v>82.857142857142861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87.142857142857139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472-401C-9335-7FB29F889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565760"/>
        <c:axId val="1929391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472-401C-9335-7FB29F8895E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포트폴리오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82.857142857142861</c:v>
                      </c:pt>
                      <c:pt idx="1">
                        <c:v>87.142857142857139</c:v>
                      </c:pt>
                      <c:pt idx="2">
                        <c:v>91.428571428571431</c:v>
                      </c:pt>
                      <c:pt idx="3">
                        <c:v>82.857142857142861</c:v>
                      </c:pt>
                      <c:pt idx="4">
                        <c:v>91.428571428571431</c:v>
                      </c:pt>
                      <c:pt idx="5">
                        <c:v>91.428571428571431</c:v>
                      </c:pt>
                      <c:pt idx="6">
                        <c:v>87.142857142857139</c:v>
                      </c:pt>
                      <c:pt idx="7">
                        <c:v>87.142857142857139</c:v>
                      </c:pt>
                      <c:pt idx="8">
                        <c:v>91.428571428571431</c:v>
                      </c:pt>
                      <c:pt idx="9">
                        <c:v>82.857142857142861</c:v>
                      </c:pt>
                      <c:pt idx="10">
                        <c:v>82.857142857142861</c:v>
                      </c:pt>
                      <c:pt idx="11">
                        <c:v>78.571428571428569</c:v>
                      </c:pt>
                      <c:pt idx="12">
                        <c:v>87.142857142857139</c:v>
                      </c:pt>
                      <c:pt idx="13">
                        <c:v>95.714285714285722</c:v>
                      </c:pt>
                      <c:pt idx="14">
                        <c:v>91.428571428571431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472-401C-9335-7FB29F8895E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472-401C-9335-7FB29F8895E6}"/>
                  </c:ext>
                </c:extLst>
              </c15:ser>
            </c15:filteredBarSeries>
          </c:ext>
        </c:extLst>
      </c:barChart>
      <c:catAx>
        <c:axId val="19256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939136"/>
        <c:crosses val="autoZero"/>
        <c:auto val="1"/>
        <c:lblAlgn val="ctr"/>
        <c:lblOffset val="100"/>
        <c:noMultiLvlLbl val="0"/>
      </c:catAx>
      <c:valAx>
        <c:axId val="19293913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5657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384055</xdr:colOff>
      <xdr:row>15</xdr:row>
      <xdr:rowOff>133452</xdr:rowOff>
    </xdr:from>
    <xdr:to>
      <xdr:col>54</xdr:col>
      <xdr:colOff>675408</xdr:colOff>
      <xdr:row>42</xdr:row>
      <xdr:rowOff>17318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B103B40-3C43-495B-8DF5-4172F0CDC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34636</xdr:colOff>
      <xdr:row>43</xdr:row>
      <xdr:rowOff>86590</xdr:rowOff>
    </xdr:from>
    <xdr:to>
      <xdr:col>10</xdr:col>
      <xdr:colOff>606136</xdr:colOff>
      <xdr:row>77</xdr:row>
      <xdr:rowOff>173181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0EE1BA8-F916-4FF2-8E13-D233FDB38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390526</xdr:colOff>
      <xdr:row>1</xdr:row>
      <xdr:rowOff>19050</xdr:rowOff>
    </xdr:from>
    <xdr:to>
      <xdr:col>15</xdr:col>
      <xdr:colOff>466726</xdr:colOff>
      <xdr:row>4</xdr:row>
      <xdr:rowOff>245713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EF58161-B9FA-4619-8089-AAA9558EE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57150"/>
          <a:ext cx="2724150" cy="969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37</xdr:row>
          <xdr:rowOff>180975</xdr:rowOff>
        </xdr:from>
        <xdr:to>
          <xdr:col>11</xdr:col>
          <xdr:colOff>409575</xdr:colOff>
          <xdr:row>46</xdr:row>
          <xdr:rowOff>0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BE33FF65-14A5-4559-BFDE-C336C75A848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전체 훈련생 평가 채점표'!$AF$10:$AI$16" spid="_x0000_s436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286125" y="8143875"/>
              <a:ext cx="2752725" cy="18764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47</xdr:row>
      <xdr:rowOff>0</xdr:rowOff>
    </xdr:from>
    <xdr:to>
      <xdr:col>15</xdr:col>
      <xdr:colOff>400050</xdr:colOff>
      <xdr:row>67</xdr:row>
      <xdr:rowOff>228600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63DF58F3-B9A9-4357-A5AA-369A6F301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8"/>
  <sheetViews>
    <sheetView topLeftCell="I1" zoomScaleNormal="100" workbookViewId="0">
      <selection activeCell="R17" sqref="R17"/>
    </sheetView>
  </sheetViews>
  <sheetFormatPr defaultRowHeight="16.5" x14ac:dyDescent="0.3"/>
  <cols>
    <col min="1" max="1" width="4.75" style="8" bestFit="1" customWidth="1"/>
    <col min="2" max="2" width="14.25" style="8" customWidth="1"/>
    <col min="3" max="3" width="7.25" style="8" customWidth="1"/>
    <col min="4" max="4" width="62.375" style="8" customWidth="1"/>
    <col min="5" max="5" width="15.125" style="8" customWidth="1"/>
    <col min="6" max="6" width="6" style="8" bestFit="1" customWidth="1"/>
    <col min="7" max="7" width="33.875" style="8" customWidth="1"/>
    <col min="8" max="8" width="32.5" style="8" customWidth="1"/>
    <col min="9" max="9" width="44.5" style="8" bestFit="1" customWidth="1"/>
    <col min="10" max="10" width="15.125" style="8" bestFit="1" customWidth="1"/>
    <col min="11" max="12" width="7.5" style="8" customWidth="1"/>
    <col min="13" max="13" width="16" style="8" customWidth="1"/>
    <col min="14" max="14" width="13.125" style="8" bestFit="1" customWidth="1"/>
    <col min="15" max="15" width="14.25" style="8" bestFit="1" customWidth="1"/>
    <col min="16" max="16" width="7.5" style="8" bestFit="1" customWidth="1"/>
    <col min="17" max="17" width="11.125" style="8" bestFit="1" customWidth="1"/>
    <col min="18" max="18" width="60.75" style="8" customWidth="1"/>
    <col min="19" max="16384" width="9" style="8"/>
  </cols>
  <sheetData>
    <row r="1" spans="1:19" ht="17.25" x14ac:dyDescent="0.3">
      <c r="D1" s="148" t="s">
        <v>135</v>
      </c>
      <c r="F1" s="121" t="s">
        <v>133</v>
      </c>
      <c r="G1" s="121"/>
      <c r="I1" s="121" t="s">
        <v>127</v>
      </c>
    </row>
    <row r="2" spans="1:19" ht="17.25" thickBot="1" x14ac:dyDescent="0.35">
      <c r="F2" s="121" t="s">
        <v>134</v>
      </c>
      <c r="G2" s="121"/>
      <c r="I2" s="121" t="s">
        <v>129</v>
      </c>
    </row>
    <row r="3" spans="1:19" s="9" customFormat="1" x14ac:dyDescent="0.3">
      <c r="A3" s="80" t="s">
        <v>116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0">
        <v>17</v>
      </c>
      <c r="R3" s="80">
        <v>18</v>
      </c>
    </row>
    <row r="4" spans="1:19" s="51" customFormat="1" ht="27.75" thickBot="1" x14ac:dyDescent="0.35">
      <c r="A4" s="83" t="s">
        <v>1</v>
      </c>
      <c r="B4" s="82" t="s">
        <v>49</v>
      </c>
      <c r="C4" s="82" t="s">
        <v>16</v>
      </c>
      <c r="D4" s="82" t="s">
        <v>17</v>
      </c>
      <c r="E4" s="82" t="s">
        <v>18</v>
      </c>
      <c r="F4" s="82" t="s">
        <v>78</v>
      </c>
      <c r="G4" s="82" t="s">
        <v>20</v>
      </c>
      <c r="H4" s="82" t="s">
        <v>51</v>
      </c>
      <c r="I4" s="82" t="s">
        <v>107</v>
      </c>
      <c r="J4" s="82" t="s">
        <v>21</v>
      </c>
      <c r="K4" s="82" t="s">
        <v>22</v>
      </c>
      <c r="L4" s="82" t="s">
        <v>24</v>
      </c>
      <c r="M4" s="82" t="s">
        <v>108</v>
      </c>
      <c r="N4" s="82" t="s">
        <v>122</v>
      </c>
      <c r="O4" s="82" t="s">
        <v>123</v>
      </c>
      <c r="P4" s="82" t="s">
        <v>55</v>
      </c>
      <c r="Q4" s="88" t="s">
        <v>137</v>
      </c>
      <c r="R4" s="83" t="s">
        <v>138</v>
      </c>
    </row>
    <row r="5" spans="1:19" s="52" customFormat="1" ht="13.5" x14ac:dyDescent="0.3">
      <c r="A5" s="77">
        <v>1</v>
      </c>
      <c r="B5" s="77" t="s">
        <v>139</v>
      </c>
      <c r="C5" s="77">
        <v>2021</v>
      </c>
      <c r="D5" s="77" t="s">
        <v>140</v>
      </c>
      <c r="E5" s="77" t="s">
        <v>141</v>
      </c>
      <c r="F5" s="77" t="s">
        <v>142</v>
      </c>
      <c r="G5" s="162" t="s">
        <v>143</v>
      </c>
      <c r="H5" s="162" t="s">
        <v>144</v>
      </c>
      <c r="I5" s="162" t="s">
        <v>145</v>
      </c>
      <c r="J5" s="77" t="s">
        <v>146</v>
      </c>
      <c r="K5" s="77">
        <v>20</v>
      </c>
      <c r="L5" s="77" t="s">
        <v>147</v>
      </c>
      <c r="M5" s="163">
        <v>44441</v>
      </c>
      <c r="N5" s="77"/>
      <c r="O5" s="77" t="s">
        <v>148</v>
      </c>
      <c r="P5" s="77" t="s">
        <v>149</v>
      </c>
      <c r="Q5" s="78"/>
      <c r="R5" s="79"/>
    </row>
    <row r="6" spans="1:19" s="52" customFormat="1" ht="13.5" x14ac:dyDescent="0.3">
      <c r="A6" s="73">
        <v>2</v>
      </c>
      <c r="B6" s="77" t="s">
        <v>139</v>
      </c>
      <c r="C6" s="77">
        <v>2021</v>
      </c>
      <c r="D6" s="77" t="s">
        <v>140</v>
      </c>
      <c r="E6" s="77" t="s">
        <v>141</v>
      </c>
      <c r="F6" s="77" t="s">
        <v>142</v>
      </c>
      <c r="G6" s="72" t="s">
        <v>143</v>
      </c>
      <c r="H6" s="162" t="s">
        <v>144</v>
      </c>
      <c r="I6" s="72" t="s">
        <v>150</v>
      </c>
      <c r="J6" s="77" t="s">
        <v>151</v>
      </c>
      <c r="K6" s="73">
        <v>20</v>
      </c>
      <c r="L6" s="77" t="s">
        <v>147</v>
      </c>
      <c r="M6" s="163">
        <v>44446</v>
      </c>
      <c r="N6" s="73"/>
      <c r="O6" s="77" t="s">
        <v>148</v>
      </c>
      <c r="P6" s="77" t="s">
        <v>149</v>
      </c>
      <c r="Q6" s="74"/>
      <c r="R6" s="75"/>
    </row>
    <row r="7" spans="1:19" s="52" customFormat="1" ht="13.5" x14ac:dyDescent="0.3">
      <c r="A7" s="73">
        <v>3</v>
      </c>
      <c r="B7" s="77" t="s">
        <v>139</v>
      </c>
      <c r="C7" s="77">
        <v>2021</v>
      </c>
      <c r="D7" s="77" t="s">
        <v>140</v>
      </c>
      <c r="E7" s="77" t="s">
        <v>141</v>
      </c>
      <c r="F7" s="77" t="s">
        <v>142</v>
      </c>
      <c r="G7" s="72" t="s">
        <v>143</v>
      </c>
      <c r="H7" s="162" t="s">
        <v>144</v>
      </c>
      <c r="I7" s="72" t="s">
        <v>152</v>
      </c>
      <c r="J7" s="77" t="s">
        <v>153</v>
      </c>
      <c r="K7" s="73">
        <v>20</v>
      </c>
      <c r="L7" s="77" t="s">
        <v>147</v>
      </c>
      <c r="M7" s="163">
        <v>44448</v>
      </c>
      <c r="N7" s="73"/>
      <c r="O7" s="77" t="s">
        <v>148</v>
      </c>
      <c r="P7" s="77" t="s">
        <v>149</v>
      </c>
      <c r="Q7" s="74"/>
      <c r="R7" s="72"/>
    </row>
    <row r="8" spans="1:19" s="52" customFormat="1" ht="13.5" x14ac:dyDescent="0.3">
      <c r="A8" s="73">
        <v>4</v>
      </c>
      <c r="B8" s="77" t="s">
        <v>139</v>
      </c>
      <c r="C8" s="77">
        <v>2021</v>
      </c>
      <c r="D8" s="77" t="s">
        <v>140</v>
      </c>
      <c r="E8" s="77" t="s">
        <v>141</v>
      </c>
      <c r="F8" s="77" t="s">
        <v>142</v>
      </c>
      <c r="G8" s="72" t="s">
        <v>143</v>
      </c>
      <c r="H8" s="162" t="s">
        <v>144</v>
      </c>
      <c r="I8" s="72" t="s">
        <v>154</v>
      </c>
      <c r="J8" s="77" t="s">
        <v>155</v>
      </c>
      <c r="K8" s="73">
        <v>30</v>
      </c>
      <c r="L8" s="77" t="s">
        <v>147</v>
      </c>
      <c r="M8" s="163">
        <v>44454</v>
      </c>
      <c r="N8" s="73"/>
      <c r="O8" s="77" t="s">
        <v>156</v>
      </c>
      <c r="P8" s="77" t="s">
        <v>149</v>
      </c>
      <c r="Q8" s="74"/>
      <c r="R8" s="75"/>
    </row>
    <row r="9" spans="1:19" s="52" customFormat="1" ht="13.5" x14ac:dyDescent="0.3">
      <c r="A9" s="73">
        <v>5</v>
      </c>
      <c r="B9" s="77" t="s">
        <v>139</v>
      </c>
      <c r="C9" s="77">
        <v>2021</v>
      </c>
      <c r="D9" s="77" t="s">
        <v>140</v>
      </c>
      <c r="E9" s="77" t="s">
        <v>141</v>
      </c>
      <c r="F9" s="77" t="s">
        <v>142</v>
      </c>
      <c r="G9" s="72" t="s">
        <v>157</v>
      </c>
      <c r="H9" s="162" t="s">
        <v>144</v>
      </c>
      <c r="I9" s="72" t="s">
        <v>158</v>
      </c>
      <c r="J9" s="77" t="s">
        <v>159</v>
      </c>
      <c r="K9" s="73">
        <v>30</v>
      </c>
      <c r="L9" s="77" t="s">
        <v>147</v>
      </c>
      <c r="M9" s="163">
        <v>44463</v>
      </c>
      <c r="N9" s="73"/>
      <c r="O9" s="77" t="s">
        <v>156</v>
      </c>
      <c r="P9" s="77" t="s">
        <v>149</v>
      </c>
      <c r="Q9" s="74"/>
      <c r="R9" s="72"/>
    </row>
    <row r="10" spans="1:19" s="52" customFormat="1" ht="13.5" x14ac:dyDescent="0.3">
      <c r="A10" s="73">
        <v>6</v>
      </c>
      <c r="B10" s="77" t="s">
        <v>139</v>
      </c>
      <c r="C10" s="77">
        <v>2021</v>
      </c>
      <c r="D10" s="77" t="s">
        <v>140</v>
      </c>
      <c r="E10" s="77" t="s">
        <v>141</v>
      </c>
      <c r="F10" s="77" t="s">
        <v>142</v>
      </c>
      <c r="G10" s="72" t="s">
        <v>160</v>
      </c>
      <c r="H10" s="162" t="s">
        <v>161</v>
      </c>
      <c r="I10" s="72" t="s">
        <v>162</v>
      </c>
      <c r="J10" s="77" t="s">
        <v>163</v>
      </c>
      <c r="K10" s="73">
        <v>40</v>
      </c>
      <c r="L10" s="77" t="s">
        <v>147</v>
      </c>
      <c r="M10" s="163">
        <v>44470</v>
      </c>
      <c r="N10" s="73"/>
      <c r="O10" s="77" t="s">
        <v>148</v>
      </c>
      <c r="P10" s="77" t="s">
        <v>149</v>
      </c>
      <c r="Q10" s="74"/>
      <c r="R10" s="72"/>
    </row>
    <row r="11" spans="1:19" s="52" customFormat="1" ht="13.5" x14ac:dyDescent="0.3">
      <c r="A11" s="73">
        <v>7</v>
      </c>
      <c r="B11" s="77" t="s">
        <v>139</v>
      </c>
      <c r="C11" s="77">
        <v>2021</v>
      </c>
      <c r="D11" s="77" t="s">
        <v>140</v>
      </c>
      <c r="E11" s="77" t="s">
        <v>141</v>
      </c>
      <c r="F11" s="77" t="s">
        <v>142</v>
      </c>
      <c r="G11" s="72" t="s">
        <v>160</v>
      </c>
      <c r="H11" s="162" t="s">
        <v>161</v>
      </c>
      <c r="I11" s="72" t="s">
        <v>164</v>
      </c>
      <c r="J11" s="77" t="s">
        <v>165</v>
      </c>
      <c r="K11" s="73">
        <v>40</v>
      </c>
      <c r="L11" s="77" t="s">
        <v>170</v>
      </c>
      <c r="M11" s="163">
        <v>44481</v>
      </c>
      <c r="N11" s="73"/>
      <c r="O11" s="77" t="s">
        <v>156</v>
      </c>
      <c r="P11" s="77" t="s">
        <v>149</v>
      </c>
      <c r="Q11" s="74"/>
      <c r="R11" s="72"/>
    </row>
    <row r="12" spans="1:19" s="52" customFormat="1" ht="13.5" x14ac:dyDescent="0.3">
      <c r="A12" s="73">
        <v>8</v>
      </c>
      <c r="B12" s="77" t="s">
        <v>139</v>
      </c>
      <c r="C12" s="77">
        <v>2021</v>
      </c>
      <c r="D12" s="77" t="s">
        <v>140</v>
      </c>
      <c r="E12" s="77" t="s">
        <v>141</v>
      </c>
      <c r="F12" s="77" t="s">
        <v>142</v>
      </c>
      <c r="G12" s="72" t="s">
        <v>166</v>
      </c>
      <c r="H12" s="162" t="s">
        <v>167</v>
      </c>
      <c r="I12" s="72" t="s">
        <v>168</v>
      </c>
      <c r="J12" s="77" t="s">
        <v>169</v>
      </c>
      <c r="K12" s="73">
        <v>45</v>
      </c>
      <c r="L12" s="77" t="s">
        <v>170</v>
      </c>
      <c r="M12" s="163">
        <v>44489</v>
      </c>
      <c r="N12" s="73"/>
      <c r="O12" s="77" t="s">
        <v>148</v>
      </c>
      <c r="P12" s="77" t="s">
        <v>149</v>
      </c>
      <c r="Q12" s="74"/>
      <c r="R12" s="72"/>
    </row>
    <row r="13" spans="1:19" s="52" customFormat="1" ht="13.5" x14ac:dyDescent="0.3">
      <c r="A13" s="73">
        <v>9</v>
      </c>
      <c r="B13" s="77" t="s">
        <v>139</v>
      </c>
      <c r="C13" s="77">
        <v>2021</v>
      </c>
      <c r="D13" s="77" t="s">
        <v>140</v>
      </c>
      <c r="E13" s="77" t="s">
        <v>141</v>
      </c>
      <c r="F13" s="77" t="s">
        <v>142</v>
      </c>
      <c r="G13" s="72" t="s">
        <v>166</v>
      </c>
      <c r="H13" s="162" t="s">
        <v>171</v>
      </c>
      <c r="I13" s="72" t="s">
        <v>172</v>
      </c>
      <c r="J13" s="77" t="s">
        <v>173</v>
      </c>
      <c r="K13" s="73">
        <v>70</v>
      </c>
      <c r="L13" s="77" t="s">
        <v>170</v>
      </c>
      <c r="M13" s="163">
        <v>44502</v>
      </c>
      <c r="N13" s="73"/>
      <c r="O13" s="77" t="s">
        <v>148</v>
      </c>
      <c r="P13" s="77" t="s">
        <v>149</v>
      </c>
      <c r="Q13" s="74"/>
      <c r="R13" s="72"/>
    </row>
    <row r="14" spans="1:19" s="52" customFormat="1" ht="13.5" x14ac:dyDescent="0.3">
      <c r="A14" s="73">
        <v>10</v>
      </c>
      <c r="B14" s="77" t="s">
        <v>139</v>
      </c>
      <c r="C14" s="77">
        <v>2021</v>
      </c>
      <c r="D14" s="77" t="s">
        <v>140</v>
      </c>
      <c r="E14" s="77" t="s">
        <v>141</v>
      </c>
      <c r="F14" s="77" t="s">
        <v>142</v>
      </c>
      <c r="G14" s="72" t="s">
        <v>166</v>
      </c>
      <c r="H14" s="162" t="s">
        <v>167</v>
      </c>
      <c r="I14" s="72" t="s">
        <v>174</v>
      </c>
      <c r="J14" s="77" t="s">
        <v>175</v>
      </c>
      <c r="K14" s="73">
        <v>60</v>
      </c>
      <c r="L14" s="77" t="s">
        <v>170</v>
      </c>
      <c r="M14" s="163">
        <v>44511</v>
      </c>
      <c r="N14" s="73"/>
      <c r="O14" s="77" t="s">
        <v>156</v>
      </c>
      <c r="P14" s="77" t="s">
        <v>149</v>
      </c>
      <c r="Q14" s="74"/>
      <c r="R14" s="72"/>
    </row>
    <row r="15" spans="1:19" s="52" customFormat="1" ht="13.5" x14ac:dyDescent="0.3">
      <c r="A15" s="73">
        <v>11</v>
      </c>
      <c r="B15" s="77" t="s">
        <v>139</v>
      </c>
      <c r="C15" s="77">
        <v>2021</v>
      </c>
      <c r="D15" s="77" t="s">
        <v>140</v>
      </c>
      <c r="E15" s="77" t="s">
        <v>141</v>
      </c>
      <c r="F15" s="77" t="s">
        <v>142</v>
      </c>
      <c r="G15" s="72" t="s">
        <v>176</v>
      </c>
      <c r="H15" s="162" t="s">
        <v>177</v>
      </c>
      <c r="I15" s="72" t="s">
        <v>178</v>
      </c>
      <c r="J15" s="77" t="s">
        <v>179</v>
      </c>
      <c r="K15" s="73">
        <v>70</v>
      </c>
      <c r="L15" s="73" t="s">
        <v>170</v>
      </c>
      <c r="M15" s="163">
        <v>44524</v>
      </c>
      <c r="N15" s="73"/>
      <c r="O15" s="77" t="s">
        <v>156</v>
      </c>
      <c r="P15" s="77" t="s">
        <v>149</v>
      </c>
      <c r="Q15" s="74"/>
      <c r="R15" s="72"/>
      <c r="S15" s="52" t="s">
        <v>128</v>
      </c>
    </row>
    <row r="16" spans="1:19" s="52" customFormat="1" ht="13.5" x14ac:dyDescent="0.3">
      <c r="A16" s="73">
        <v>12</v>
      </c>
      <c r="B16" s="77" t="s">
        <v>139</v>
      </c>
      <c r="C16" s="77">
        <v>2021</v>
      </c>
      <c r="D16" s="77" t="s">
        <v>140</v>
      </c>
      <c r="E16" s="77" t="s">
        <v>141</v>
      </c>
      <c r="F16" s="77" t="s">
        <v>142</v>
      </c>
      <c r="G16" s="72" t="s">
        <v>180</v>
      </c>
      <c r="H16" s="162" t="s">
        <v>177</v>
      </c>
      <c r="I16" s="72" t="s">
        <v>181</v>
      </c>
      <c r="J16" s="77" t="s">
        <v>182</v>
      </c>
      <c r="K16" s="73">
        <v>70</v>
      </c>
      <c r="L16" s="73" t="s">
        <v>170</v>
      </c>
      <c r="M16" s="163">
        <v>44537</v>
      </c>
      <c r="N16" s="73"/>
      <c r="O16" s="77" t="s">
        <v>156</v>
      </c>
      <c r="P16" s="77" t="s">
        <v>149</v>
      </c>
      <c r="Q16" s="74"/>
      <c r="R16" s="72"/>
    </row>
    <row r="17" spans="1:18" s="52" customFormat="1" ht="13.5" x14ac:dyDescent="0.3">
      <c r="A17" s="73">
        <v>13</v>
      </c>
      <c r="B17" s="77" t="s">
        <v>139</v>
      </c>
      <c r="C17" s="77">
        <v>2021</v>
      </c>
      <c r="D17" s="77" t="s">
        <v>140</v>
      </c>
      <c r="E17" s="77" t="s">
        <v>141</v>
      </c>
      <c r="F17" s="77" t="s">
        <v>142</v>
      </c>
      <c r="G17" s="72" t="s">
        <v>183</v>
      </c>
      <c r="H17" s="162" t="s">
        <v>167</v>
      </c>
      <c r="I17" s="72" t="s">
        <v>184</v>
      </c>
      <c r="J17" s="77" t="s">
        <v>185</v>
      </c>
      <c r="K17" s="73">
        <v>25</v>
      </c>
      <c r="L17" s="73" t="s">
        <v>170</v>
      </c>
      <c r="M17" s="163">
        <v>44540</v>
      </c>
      <c r="N17" s="73"/>
      <c r="O17" s="77" t="s">
        <v>148</v>
      </c>
      <c r="P17" s="77" t="s">
        <v>149</v>
      </c>
      <c r="Q17" s="74"/>
      <c r="R17" s="72"/>
    </row>
    <row r="18" spans="1:18" s="52" customFormat="1" ht="13.5" x14ac:dyDescent="0.3">
      <c r="A18" s="73">
        <v>14</v>
      </c>
      <c r="B18" s="77" t="s">
        <v>139</v>
      </c>
      <c r="C18" s="77">
        <v>2021</v>
      </c>
      <c r="D18" s="77" t="s">
        <v>140</v>
      </c>
      <c r="E18" s="77" t="s">
        <v>141</v>
      </c>
      <c r="F18" s="77" t="s">
        <v>142</v>
      </c>
      <c r="G18" s="72" t="s">
        <v>183</v>
      </c>
      <c r="H18" s="162" t="s">
        <v>167</v>
      </c>
      <c r="I18" s="72" t="s">
        <v>186</v>
      </c>
      <c r="J18" s="77" t="s">
        <v>187</v>
      </c>
      <c r="K18" s="73">
        <v>30</v>
      </c>
      <c r="L18" s="73" t="s">
        <v>170</v>
      </c>
      <c r="M18" s="163">
        <v>44545</v>
      </c>
      <c r="N18" s="73"/>
      <c r="O18" s="77" t="s">
        <v>156</v>
      </c>
      <c r="P18" s="77" t="s">
        <v>149</v>
      </c>
      <c r="Q18" s="74"/>
      <c r="R18" s="72"/>
    </row>
    <row r="19" spans="1:18" s="52" customFormat="1" ht="13.5" x14ac:dyDescent="0.3">
      <c r="A19" s="73">
        <v>15</v>
      </c>
      <c r="B19" s="77" t="s">
        <v>139</v>
      </c>
      <c r="C19" s="77">
        <v>2021</v>
      </c>
      <c r="D19" s="77" t="s">
        <v>140</v>
      </c>
      <c r="E19" s="77" t="s">
        <v>141</v>
      </c>
      <c r="F19" s="77" t="s">
        <v>142</v>
      </c>
      <c r="G19" s="72" t="s">
        <v>188</v>
      </c>
      <c r="H19" s="162" t="s">
        <v>167</v>
      </c>
      <c r="I19" s="72" t="s">
        <v>189</v>
      </c>
      <c r="J19" s="77" t="s">
        <v>190</v>
      </c>
      <c r="K19" s="73">
        <v>40</v>
      </c>
      <c r="L19" s="73" t="s">
        <v>170</v>
      </c>
      <c r="M19" s="163">
        <v>44553</v>
      </c>
      <c r="N19" s="73"/>
      <c r="O19" s="77" t="s">
        <v>156</v>
      </c>
      <c r="P19" s="77" t="s">
        <v>149</v>
      </c>
      <c r="Q19" s="74"/>
      <c r="R19" s="72"/>
    </row>
    <row r="20" spans="1:18" s="53" customFormat="1" x14ac:dyDescent="0.3">
      <c r="A20" s="73">
        <v>16</v>
      </c>
      <c r="B20" s="77" t="s">
        <v>139</v>
      </c>
      <c r="C20" s="77">
        <v>2021</v>
      </c>
      <c r="D20" s="77" t="s">
        <v>140</v>
      </c>
      <c r="E20" s="77" t="s">
        <v>141</v>
      </c>
      <c r="F20" s="77" t="s">
        <v>142</v>
      </c>
      <c r="G20" s="72" t="s">
        <v>188</v>
      </c>
      <c r="H20" s="162" t="s">
        <v>167</v>
      </c>
      <c r="I20" s="72" t="s">
        <v>191</v>
      </c>
      <c r="J20" s="77" t="s">
        <v>192</v>
      </c>
      <c r="K20" s="73">
        <v>20</v>
      </c>
      <c r="L20" s="73" t="s">
        <v>170</v>
      </c>
      <c r="M20" s="163">
        <v>44559</v>
      </c>
      <c r="N20" s="73"/>
      <c r="O20" s="77" t="s">
        <v>148</v>
      </c>
      <c r="P20" s="77" t="s">
        <v>149</v>
      </c>
      <c r="Q20" s="86"/>
      <c r="R20" s="76"/>
    </row>
    <row r="21" spans="1:18" s="53" customFormat="1" x14ac:dyDescent="0.3">
      <c r="A21" s="73">
        <v>17</v>
      </c>
      <c r="B21" s="77" t="s">
        <v>139</v>
      </c>
      <c r="C21" s="77">
        <v>2021</v>
      </c>
      <c r="D21" s="77" t="s">
        <v>140</v>
      </c>
      <c r="E21" s="77" t="s">
        <v>141</v>
      </c>
      <c r="F21" s="77" t="s">
        <v>142</v>
      </c>
      <c r="G21" s="72" t="s">
        <v>188</v>
      </c>
      <c r="H21" s="162" t="s">
        <v>167</v>
      </c>
      <c r="I21" s="72" t="s">
        <v>193</v>
      </c>
      <c r="J21" s="77" t="s">
        <v>194</v>
      </c>
      <c r="K21" s="73">
        <v>20</v>
      </c>
      <c r="L21" s="73" t="s">
        <v>170</v>
      </c>
      <c r="M21" s="163">
        <v>44565</v>
      </c>
      <c r="N21" s="73"/>
      <c r="O21" s="77" t="s">
        <v>148</v>
      </c>
      <c r="P21" s="77" t="s">
        <v>149</v>
      </c>
      <c r="Q21" s="86"/>
      <c r="R21" s="76"/>
    </row>
    <row r="22" spans="1:18" s="53" customFormat="1" x14ac:dyDescent="0.3">
      <c r="A22" s="73">
        <v>18</v>
      </c>
      <c r="B22" s="77" t="s">
        <v>139</v>
      </c>
      <c r="C22" s="77">
        <v>2021</v>
      </c>
      <c r="D22" s="77" t="s">
        <v>140</v>
      </c>
      <c r="E22" s="77" t="s">
        <v>141</v>
      </c>
      <c r="F22" s="77" t="s">
        <v>142</v>
      </c>
      <c r="G22" s="72" t="s">
        <v>188</v>
      </c>
      <c r="H22" s="162" t="s">
        <v>167</v>
      </c>
      <c r="I22" s="72" t="s">
        <v>195</v>
      </c>
      <c r="J22" s="77" t="s">
        <v>196</v>
      </c>
      <c r="K22" s="73">
        <v>10</v>
      </c>
      <c r="L22" s="73" t="s">
        <v>170</v>
      </c>
      <c r="M22" s="163">
        <v>44567</v>
      </c>
      <c r="N22" s="73"/>
      <c r="O22" s="77" t="s">
        <v>148</v>
      </c>
      <c r="P22" s="77" t="s">
        <v>149</v>
      </c>
      <c r="Q22" s="86"/>
      <c r="R22" s="76"/>
    </row>
    <row r="23" spans="1:18" s="53" customFormat="1" x14ac:dyDescent="0.3">
      <c r="A23" s="73">
        <v>19</v>
      </c>
      <c r="B23" s="77" t="s">
        <v>139</v>
      </c>
      <c r="C23" s="77">
        <v>2021</v>
      </c>
      <c r="D23" s="77" t="s">
        <v>140</v>
      </c>
      <c r="E23" s="77" t="s">
        <v>141</v>
      </c>
      <c r="F23" s="77" t="s">
        <v>142</v>
      </c>
      <c r="G23" s="72" t="s">
        <v>197</v>
      </c>
      <c r="H23" s="162" t="s">
        <v>198</v>
      </c>
      <c r="I23" s="72" t="s">
        <v>199</v>
      </c>
      <c r="J23" s="77" t="s">
        <v>200</v>
      </c>
      <c r="K23" s="73">
        <v>20</v>
      </c>
      <c r="L23" s="73" t="s">
        <v>170</v>
      </c>
      <c r="M23" s="163">
        <v>44573</v>
      </c>
      <c r="N23" s="73"/>
      <c r="O23" s="77" t="s">
        <v>156</v>
      </c>
      <c r="P23" s="77" t="s">
        <v>149</v>
      </c>
      <c r="Q23" s="86"/>
      <c r="R23" s="76"/>
    </row>
    <row r="24" spans="1:18" s="53" customFormat="1" x14ac:dyDescent="0.3">
      <c r="A24" s="73">
        <v>20</v>
      </c>
      <c r="B24" s="77" t="s">
        <v>139</v>
      </c>
      <c r="C24" s="77">
        <v>2022</v>
      </c>
      <c r="D24" s="77" t="s">
        <v>140</v>
      </c>
      <c r="E24" s="77" t="s">
        <v>141</v>
      </c>
      <c r="F24" s="77" t="s">
        <v>142</v>
      </c>
      <c r="G24" s="72" t="s">
        <v>197</v>
      </c>
      <c r="H24" s="162" t="s">
        <v>198</v>
      </c>
      <c r="I24" s="72" t="s">
        <v>201</v>
      </c>
      <c r="J24" s="77" t="s">
        <v>202</v>
      </c>
      <c r="K24" s="73">
        <v>50</v>
      </c>
      <c r="L24" s="73" t="s">
        <v>170</v>
      </c>
      <c r="M24" s="163">
        <v>44587</v>
      </c>
      <c r="N24" s="73"/>
      <c r="O24" s="77" t="s">
        <v>156</v>
      </c>
      <c r="P24" s="77" t="s">
        <v>149</v>
      </c>
      <c r="Q24" s="86"/>
      <c r="R24" s="76"/>
    </row>
    <row r="25" spans="1:18" s="53" customFormat="1" x14ac:dyDescent="0.3">
      <c r="A25" s="73">
        <v>21</v>
      </c>
      <c r="B25" s="77" t="s">
        <v>139</v>
      </c>
      <c r="C25" s="77">
        <v>2023</v>
      </c>
      <c r="D25" s="77" t="s">
        <v>140</v>
      </c>
      <c r="E25" s="77" t="s">
        <v>141</v>
      </c>
      <c r="F25" s="77" t="s">
        <v>142</v>
      </c>
      <c r="G25" s="72" t="s">
        <v>197</v>
      </c>
      <c r="H25" s="162" t="s">
        <v>198</v>
      </c>
      <c r="I25" s="72" t="s">
        <v>203</v>
      </c>
      <c r="J25" s="77" t="s">
        <v>204</v>
      </c>
      <c r="K25" s="73">
        <v>20</v>
      </c>
      <c r="L25" s="73" t="s">
        <v>170</v>
      </c>
      <c r="M25" s="163">
        <v>44619</v>
      </c>
      <c r="N25" s="73"/>
      <c r="O25" s="77" t="s">
        <v>156</v>
      </c>
      <c r="P25" s="77" t="s">
        <v>149</v>
      </c>
      <c r="Q25" s="86"/>
      <c r="R25" s="76"/>
    </row>
    <row r="26" spans="1:18" s="53" customFormat="1" x14ac:dyDescent="0.3">
      <c r="A26" s="73"/>
      <c r="B26" s="71"/>
      <c r="C26" s="71"/>
      <c r="D26" s="71"/>
      <c r="E26" s="71"/>
      <c r="F26" s="71"/>
      <c r="G26" s="76"/>
      <c r="H26" s="71"/>
      <c r="I26" s="76"/>
      <c r="J26" s="71"/>
      <c r="K26" s="71"/>
      <c r="L26" s="71"/>
      <c r="M26" s="71"/>
      <c r="N26" s="71"/>
      <c r="O26" s="71"/>
      <c r="P26" s="71"/>
      <c r="Q26" s="86"/>
      <c r="R26" s="76"/>
    </row>
    <row r="27" spans="1:18" s="53" customFormat="1" x14ac:dyDescent="0.3">
      <c r="A27" s="73"/>
      <c r="B27" s="71"/>
      <c r="C27" s="71"/>
      <c r="D27" s="71"/>
      <c r="E27" s="71"/>
      <c r="F27" s="71"/>
      <c r="G27" s="76"/>
      <c r="H27" s="71"/>
      <c r="I27" s="76"/>
      <c r="J27" s="71"/>
      <c r="K27" s="71"/>
      <c r="L27" s="71"/>
      <c r="M27" s="71"/>
      <c r="N27" s="71"/>
      <c r="O27" s="71"/>
      <c r="P27" s="71"/>
      <c r="Q27" s="86"/>
      <c r="R27" s="76"/>
    </row>
    <row r="28" spans="1:18" s="53" customFormat="1" ht="17.25" thickBot="1" x14ac:dyDescent="0.35">
      <c r="A28" s="84"/>
      <c r="B28" s="84"/>
      <c r="C28" s="84"/>
      <c r="D28" s="84"/>
      <c r="E28" s="84"/>
      <c r="F28" s="84"/>
      <c r="G28" s="85"/>
      <c r="H28" s="84"/>
      <c r="I28" s="85"/>
      <c r="J28" s="84"/>
      <c r="K28" s="84"/>
      <c r="L28" s="84"/>
      <c r="M28" s="84"/>
      <c r="N28" s="84"/>
      <c r="O28" s="84"/>
      <c r="P28" s="84"/>
      <c r="Q28" s="87"/>
      <c r="R28" s="85"/>
    </row>
  </sheetData>
  <sortState ref="G5:K20">
    <sortCondition ref="J5:J20"/>
  </sortState>
  <phoneticPr fontId="2" type="noConversion"/>
  <pageMargins left="0.25" right="0.25" top="0.75" bottom="0.75" header="0.3" footer="0.3"/>
  <pageSetup paperSize="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K35"/>
  <sheetViews>
    <sheetView zoomScale="85" zoomScaleNormal="85" workbookViewId="0">
      <selection activeCell="W18" sqref="W18"/>
    </sheetView>
  </sheetViews>
  <sheetFormatPr defaultRowHeight="16.5" x14ac:dyDescent="0.3"/>
  <cols>
    <col min="3" max="3" width="16.375" customWidth="1"/>
    <col min="4" max="4" width="15" customWidth="1"/>
    <col min="5" max="5" width="11" bestFit="1" customWidth="1"/>
    <col min="6" max="6" width="35.875" customWidth="1"/>
  </cols>
  <sheetData>
    <row r="2" spans="2:11" x14ac:dyDescent="0.3">
      <c r="B2" s="89" t="str">
        <f>MID(VLOOKUP('전체 훈련생 평가 채점표'!$L$2,'기초데이타(작성필히)'!$A$5:$P$19,9),18,50)</f>
        <v xml:space="preserve">  스마트문화앱UX설계</v>
      </c>
      <c r="C2" s="63"/>
      <c r="D2" s="89" t="str">
        <f>VLOOKUP('전체 훈련생 평가 채점표'!L2,'기초데이타(작성필히)'!$A$5:$P$19,10)</f>
        <v>21.11.11~21.11.24</v>
      </c>
      <c r="E2" s="63"/>
      <c r="F2" s="63"/>
    </row>
    <row r="3" spans="2:11" x14ac:dyDescent="0.3">
      <c r="B3" t="s">
        <v>0</v>
      </c>
    </row>
    <row r="4" spans="2:11" ht="17.25" thickBot="1" x14ac:dyDescent="0.35"/>
    <row r="5" spans="2:11" ht="21.95" customHeight="1" thickBot="1" x14ac:dyDescent="0.35">
      <c r="B5" s="4" t="s">
        <v>1</v>
      </c>
      <c r="C5" s="2" t="s">
        <v>2</v>
      </c>
      <c r="D5" s="2" t="s">
        <v>3</v>
      </c>
      <c r="E5" s="2" t="s">
        <v>4</v>
      </c>
      <c r="F5" s="5" t="s">
        <v>5</v>
      </c>
    </row>
    <row r="6" spans="2:11" ht="21.95" customHeight="1" x14ac:dyDescent="0.3">
      <c r="B6" s="164">
        <v>1</v>
      </c>
      <c r="C6" s="9" t="s">
        <v>205</v>
      </c>
      <c r="D6" s="165" t="s">
        <v>206</v>
      </c>
      <c r="E6" s="166" t="s">
        <v>207</v>
      </c>
      <c r="F6" s="129"/>
    </row>
    <row r="7" spans="2:11" ht="21.95" customHeight="1" x14ac:dyDescent="0.3">
      <c r="B7" s="167">
        <v>2</v>
      </c>
      <c r="C7" s="9" t="s">
        <v>208</v>
      </c>
      <c r="D7" s="168" t="s">
        <v>209</v>
      </c>
      <c r="E7" s="169" t="s">
        <v>207</v>
      </c>
      <c r="F7" s="133"/>
      <c r="K7" s="8"/>
    </row>
    <row r="8" spans="2:11" ht="21.95" customHeight="1" x14ac:dyDescent="0.3">
      <c r="B8" s="167">
        <v>3</v>
      </c>
      <c r="C8" s="9" t="s">
        <v>210</v>
      </c>
      <c r="D8" s="168" t="s">
        <v>211</v>
      </c>
      <c r="E8" s="169" t="s">
        <v>207</v>
      </c>
      <c r="F8" s="133"/>
      <c r="K8" s="8"/>
    </row>
    <row r="9" spans="2:11" ht="21.95" customHeight="1" x14ac:dyDescent="0.3">
      <c r="B9" s="167">
        <v>4</v>
      </c>
      <c r="C9" s="9" t="s">
        <v>212</v>
      </c>
      <c r="D9" s="168" t="s">
        <v>213</v>
      </c>
      <c r="E9" s="169" t="s">
        <v>207</v>
      </c>
      <c r="F9" s="133"/>
      <c r="K9" s="8"/>
    </row>
    <row r="10" spans="2:11" ht="21.95" customHeight="1" x14ac:dyDescent="0.3">
      <c r="B10" s="167">
        <v>5</v>
      </c>
      <c r="C10" s="9" t="s">
        <v>214</v>
      </c>
      <c r="D10" s="168" t="s">
        <v>215</v>
      </c>
      <c r="E10" s="169" t="s">
        <v>207</v>
      </c>
      <c r="F10" s="133"/>
      <c r="K10" s="8"/>
    </row>
    <row r="11" spans="2:11" ht="21.95" customHeight="1" x14ac:dyDescent="0.3">
      <c r="B11" s="167">
        <v>6</v>
      </c>
      <c r="C11" s="9" t="s">
        <v>216</v>
      </c>
      <c r="D11" s="168" t="s">
        <v>217</v>
      </c>
      <c r="E11" s="169" t="s">
        <v>207</v>
      </c>
      <c r="F11" s="133"/>
      <c r="K11" s="8"/>
    </row>
    <row r="12" spans="2:11" ht="21.95" customHeight="1" x14ac:dyDescent="0.3">
      <c r="B12" s="167">
        <v>7</v>
      </c>
      <c r="C12" s="9" t="s">
        <v>218</v>
      </c>
      <c r="D12" s="170" t="s">
        <v>219</v>
      </c>
      <c r="E12" s="169" t="s">
        <v>207</v>
      </c>
      <c r="F12" s="133"/>
      <c r="K12" s="8"/>
    </row>
    <row r="13" spans="2:11" ht="21.95" customHeight="1" x14ac:dyDescent="0.3">
      <c r="B13" s="167">
        <v>8</v>
      </c>
      <c r="C13" s="9" t="s">
        <v>220</v>
      </c>
      <c r="D13" s="168" t="s">
        <v>221</v>
      </c>
      <c r="E13" s="169" t="s">
        <v>207</v>
      </c>
      <c r="F13" s="133"/>
      <c r="K13" s="8"/>
    </row>
    <row r="14" spans="2:11" ht="21.95" customHeight="1" x14ac:dyDescent="0.3">
      <c r="B14" s="167">
        <v>9</v>
      </c>
      <c r="C14" s="9" t="s">
        <v>222</v>
      </c>
      <c r="D14" s="168" t="s">
        <v>223</v>
      </c>
      <c r="E14" s="169" t="s">
        <v>207</v>
      </c>
      <c r="F14" s="133"/>
      <c r="K14" s="8"/>
    </row>
    <row r="15" spans="2:11" ht="21.95" customHeight="1" x14ac:dyDescent="0.3">
      <c r="B15" s="167">
        <v>10</v>
      </c>
      <c r="C15" s="9" t="s">
        <v>224</v>
      </c>
      <c r="D15" s="168" t="s">
        <v>225</v>
      </c>
      <c r="E15" s="169" t="s">
        <v>207</v>
      </c>
      <c r="F15" s="133"/>
      <c r="K15" s="8"/>
    </row>
    <row r="16" spans="2:11" ht="21.95" customHeight="1" x14ac:dyDescent="0.3">
      <c r="B16" s="167">
        <v>11</v>
      </c>
      <c r="C16" s="9" t="s">
        <v>226</v>
      </c>
      <c r="D16" s="168" t="s">
        <v>227</v>
      </c>
      <c r="E16" s="169" t="s">
        <v>207</v>
      </c>
      <c r="F16" s="133"/>
      <c r="K16" s="8"/>
    </row>
    <row r="17" spans="2:11" ht="21.95" customHeight="1" x14ac:dyDescent="0.3">
      <c r="B17" s="167">
        <v>12</v>
      </c>
      <c r="C17" s="9" t="s">
        <v>228</v>
      </c>
      <c r="D17" s="168" t="s">
        <v>229</v>
      </c>
      <c r="E17" s="169" t="s">
        <v>207</v>
      </c>
      <c r="F17" s="133"/>
      <c r="K17" s="8"/>
    </row>
    <row r="18" spans="2:11" ht="21.95" customHeight="1" x14ac:dyDescent="0.3">
      <c r="B18" s="167">
        <v>13</v>
      </c>
      <c r="C18" s="9" t="s">
        <v>230</v>
      </c>
      <c r="D18" s="168" t="s">
        <v>231</v>
      </c>
      <c r="E18" s="169" t="s">
        <v>207</v>
      </c>
      <c r="F18" s="133"/>
      <c r="K18" s="8"/>
    </row>
    <row r="19" spans="2:11" ht="21.95" customHeight="1" x14ac:dyDescent="0.3">
      <c r="B19" s="167">
        <v>14</v>
      </c>
      <c r="C19" s="9" t="s">
        <v>232</v>
      </c>
      <c r="D19" s="168" t="s">
        <v>233</v>
      </c>
      <c r="E19" s="169" t="s">
        <v>207</v>
      </c>
      <c r="F19" s="133"/>
      <c r="K19" s="8"/>
    </row>
    <row r="20" spans="2:11" ht="21.95" customHeight="1" x14ac:dyDescent="0.3">
      <c r="B20" s="167">
        <v>15</v>
      </c>
      <c r="C20" s="9" t="s">
        <v>234</v>
      </c>
      <c r="D20" s="170" t="s">
        <v>235</v>
      </c>
      <c r="E20" s="169" t="s">
        <v>207</v>
      </c>
      <c r="F20" s="133"/>
      <c r="K20" s="8"/>
    </row>
    <row r="21" spans="2:11" ht="21.95" customHeight="1" x14ac:dyDescent="0.3">
      <c r="B21" s="167">
        <v>16</v>
      </c>
      <c r="C21" s="9" t="s">
        <v>236</v>
      </c>
      <c r="D21" s="168" t="s">
        <v>237</v>
      </c>
      <c r="E21" s="169" t="s">
        <v>207</v>
      </c>
      <c r="F21" s="133"/>
      <c r="K21" s="8"/>
    </row>
    <row r="22" spans="2:11" ht="21.95" customHeight="1" x14ac:dyDescent="0.3">
      <c r="B22" s="167">
        <v>17</v>
      </c>
      <c r="C22" s="9" t="s">
        <v>238</v>
      </c>
      <c r="D22" s="168" t="s">
        <v>239</v>
      </c>
      <c r="E22" s="169" t="s">
        <v>240</v>
      </c>
      <c r="F22" s="133"/>
    </row>
    <row r="23" spans="2:11" ht="21.95" customHeight="1" x14ac:dyDescent="0.3">
      <c r="B23" s="167">
        <v>18</v>
      </c>
      <c r="C23" s="9" t="s">
        <v>241</v>
      </c>
      <c r="D23" s="171" t="s">
        <v>242</v>
      </c>
      <c r="E23" s="172" t="s">
        <v>207</v>
      </c>
      <c r="F23" s="133"/>
    </row>
    <row r="24" spans="2:11" ht="21.95" customHeight="1" x14ac:dyDescent="0.3">
      <c r="B24" s="167">
        <v>19</v>
      </c>
      <c r="C24" s="9" t="s">
        <v>243</v>
      </c>
      <c r="D24" s="168" t="s">
        <v>244</v>
      </c>
      <c r="E24" s="169" t="s">
        <v>207</v>
      </c>
      <c r="F24" s="135"/>
    </row>
    <row r="25" spans="2:11" ht="21.95" customHeight="1" x14ac:dyDescent="0.3">
      <c r="B25" s="130">
        <v>20</v>
      </c>
      <c r="C25" s="131"/>
      <c r="D25" s="131"/>
      <c r="E25" s="132"/>
      <c r="F25" s="133"/>
    </row>
    <row r="26" spans="2:11" x14ac:dyDescent="0.3">
      <c r="B26" s="130">
        <v>21</v>
      </c>
      <c r="C26" s="136"/>
      <c r="D26" s="137"/>
      <c r="E26" s="132"/>
      <c r="F26" s="133"/>
    </row>
    <row r="27" spans="2:11" x14ac:dyDescent="0.3">
      <c r="B27" s="130">
        <v>22</v>
      </c>
      <c r="C27" s="136"/>
      <c r="D27" s="137"/>
      <c r="E27" s="132"/>
      <c r="F27" s="133"/>
    </row>
    <row r="28" spans="2:11" x14ac:dyDescent="0.3">
      <c r="B28" s="130">
        <v>23</v>
      </c>
      <c r="C28" s="136"/>
      <c r="D28" s="137"/>
      <c r="E28" s="132"/>
      <c r="F28" s="133"/>
    </row>
    <row r="29" spans="2:11" x14ac:dyDescent="0.3">
      <c r="B29" s="130">
        <v>24</v>
      </c>
      <c r="C29" s="136"/>
      <c r="D29" s="137"/>
      <c r="E29" s="132"/>
      <c r="F29" s="133"/>
    </row>
    <row r="30" spans="2:11" x14ac:dyDescent="0.3">
      <c r="B30" s="130">
        <v>25</v>
      </c>
      <c r="C30" s="136"/>
      <c r="D30" s="137"/>
      <c r="E30" s="132"/>
      <c r="F30" s="133"/>
    </row>
    <row r="31" spans="2:11" x14ac:dyDescent="0.3">
      <c r="B31" s="130">
        <v>26</v>
      </c>
      <c r="C31" s="136"/>
      <c r="D31" s="137"/>
      <c r="E31" s="132"/>
      <c r="F31" s="133"/>
    </row>
    <row r="32" spans="2:11" x14ac:dyDescent="0.3">
      <c r="B32" s="130">
        <v>27</v>
      </c>
      <c r="C32" s="136"/>
      <c r="D32" s="137"/>
      <c r="E32" s="132"/>
      <c r="F32" s="133"/>
    </row>
    <row r="33" spans="2:6" x14ac:dyDescent="0.3">
      <c r="B33" s="130">
        <v>28</v>
      </c>
      <c r="C33" s="138"/>
      <c r="D33" s="139"/>
      <c r="E33" s="134"/>
      <c r="F33" s="133"/>
    </row>
    <row r="34" spans="2:6" x14ac:dyDescent="0.3">
      <c r="B34" s="130">
        <v>29</v>
      </c>
      <c r="C34" s="136"/>
      <c r="D34" s="137"/>
      <c r="E34" s="132"/>
      <c r="F34" s="133"/>
    </row>
    <row r="35" spans="2:6" ht="17.25" thickBot="1" x14ac:dyDescent="0.35">
      <c r="B35" s="140">
        <v>30</v>
      </c>
      <c r="C35" s="141"/>
      <c r="D35" s="142"/>
      <c r="E35" s="143"/>
      <c r="F35" s="144"/>
    </row>
  </sheetData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  <pageSetUpPr fitToPage="1"/>
  </sheetPr>
  <dimension ref="A1:O37"/>
  <sheetViews>
    <sheetView tabSelected="1" zoomScaleNormal="100" workbookViewId="0">
      <selection activeCell="C23" sqref="C23"/>
    </sheetView>
  </sheetViews>
  <sheetFormatPr defaultRowHeight="16.5" x14ac:dyDescent="0.3"/>
  <cols>
    <col min="1" max="1" width="4.5" bestFit="1" customWidth="1"/>
    <col min="2" max="2" width="7.375" customWidth="1"/>
    <col min="3" max="6" width="10.125" customWidth="1"/>
    <col min="7" max="7" width="9" customWidth="1"/>
    <col min="9" max="9" width="54.25" customWidth="1"/>
    <col min="10" max="10" width="33.625" customWidth="1"/>
  </cols>
  <sheetData>
    <row r="1" spans="1:15" x14ac:dyDescent="0.3">
      <c r="A1" s="147" t="s">
        <v>132</v>
      </c>
      <c r="B1" s="177" t="s">
        <v>8</v>
      </c>
      <c r="C1" s="10" t="s">
        <v>6</v>
      </c>
      <c r="D1" s="56">
        <v>70</v>
      </c>
      <c r="E1" s="10" t="s">
        <v>6</v>
      </c>
      <c r="F1" s="57">
        <v>0</v>
      </c>
      <c r="G1" s="177" t="s">
        <v>9</v>
      </c>
      <c r="H1" s="177" t="s">
        <v>10</v>
      </c>
      <c r="I1" s="177" t="str">
        <f>VLOOKUP('전체 훈련생 평가 채점표'!L2,'기초데이타(작성필히)'!$A$5:$P$19,9)&amp;" 비고(피드백)"</f>
        <v>[0803020911_18v3]  스마트문화앱UX설계 비고(피드백)</v>
      </c>
      <c r="J1" s="180"/>
      <c r="K1" s="173" t="s">
        <v>80</v>
      </c>
      <c r="L1" s="173" t="s">
        <v>111</v>
      </c>
      <c r="M1" s="175" t="s">
        <v>112</v>
      </c>
    </row>
    <row r="2" spans="1:15" s="8" customFormat="1" x14ac:dyDescent="0.3">
      <c r="A2" s="161">
        <v>6</v>
      </c>
      <c r="B2" s="178"/>
      <c r="C2" s="11" t="s">
        <v>136</v>
      </c>
      <c r="D2" s="54">
        <v>100</v>
      </c>
      <c r="E2" s="11" t="s">
        <v>136</v>
      </c>
      <c r="F2" s="55">
        <v>0</v>
      </c>
      <c r="G2" s="178"/>
      <c r="H2" s="178"/>
      <c r="I2" s="178"/>
      <c r="J2" s="181"/>
      <c r="K2" s="173"/>
      <c r="L2" s="173"/>
      <c r="M2" s="175"/>
      <c r="N2" s="89"/>
      <c r="O2" s="8" t="s">
        <v>117</v>
      </c>
    </row>
    <row r="3" spans="1:15" s="8" customFormat="1" ht="17.25" thickBot="1" x14ac:dyDescent="0.35">
      <c r="A3" s="146" t="s">
        <v>1</v>
      </c>
      <c r="B3" s="179"/>
      <c r="C3" s="151" t="str">
        <f>'전체 훈련생 평가 채점표'!F8</f>
        <v>포트폴리오</v>
      </c>
      <c r="D3" s="12" t="s">
        <v>14</v>
      </c>
      <c r="E3" s="151">
        <f>'전체 훈련생 평가 채점표'!G8</f>
        <v>0</v>
      </c>
      <c r="F3" s="12" t="s">
        <v>14</v>
      </c>
      <c r="G3" s="179"/>
      <c r="H3" s="179"/>
      <c r="I3" s="12" t="s">
        <v>12</v>
      </c>
      <c r="J3" s="16" t="s">
        <v>13</v>
      </c>
      <c r="K3" s="174"/>
      <c r="L3" s="174"/>
      <c r="M3" s="176"/>
    </row>
    <row r="4" spans="1:15" x14ac:dyDescent="0.3">
      <c r="A4" s="17">
        <v>1</v>
      </c>
      <c r="B4" s="14" t="str">
        <f>IF(훈련생명단!C6="","",훈련생명단!C6)</f>
        <v>강민재</v>
      </c>
      <c r="C4" s="152">
        <v>58</v>
      </c>
      <c r="D4" s="155">
        <f>IF(C4="",0,C4/$D$1*$D$2)</f>
        <v>82.857142857142861</v>
      </c>
      <c r="E4" s="153"/>
      <c r="F4" s="156">
        <f>IF(E4="",0,E4/$F$1*$F$2)</f>
        <v>0</v>
      </c>
      <c r="G4" s="158">
        <f>IF(B4="","-",D4+F4)</f>
        <v>82.857142857142861</v>
      </c>
      <c r="H4" s="65" t="str">
        <f t="shared" ref="H4:H17" si="0">IF(B4="","",IF(G4="","",IF(G4&lt;60,"Fail","Pass")))</f>
        <v>Pass</v>
      </c>
      <c r="I4" s="126"/>
      <c r="J4" s="127"/>
      <c r="K4" s="3"/>
      <c r="L4" s="3"/>
      <c r="M4" s="6"/>
    </row>
    <row r="5" spans="1:15" x14ac:dyDescent="0.3">
      <c r="A5" s="18">
        <v>2</v>
      </c>
      <c r="B5" s="13" t="str">
        <f>IF(훈련생명단!C7="","",훈련생명단!C7)</f>
        <v>권송이</v>
      </c>
      <c r="C5" s="153">
        <v>61</v>
      </c>
      <c r="D5" s="156">
        <f t="shared" ref="D5:D33" si="1">IF(C5="",0,C5/$D$1*$D$2)</f>
        <v>87.142857142857139</v>
      </c>
      <c r="E5" s="153"/>
      <c r="F5" s="156">
        <f t="shared" ref="F5:F33" si="2">IF(E5="",0,E5/$F$1*$F$2)</f>
        <v>0</v>
      </c>
      <c r="G5" s="159">
        <f t="shared" ref="G5:G33" si="3">IF(B5="","-",D5+F5)</f>
        <v>87.142857142857139</v>
      </c>
      <c r="H5" s="66" t="str">
        <f t="shared" si="0"/>
        <v>Pass</v>
      </c>
      <c r="I5" s="126"/>
      <c r="J5" s="126"/>
      <c r="K5" s="1"/>
      <c r="L5" s="1"/>
      <c r="M5" s="7"/>
      <c r="O5" s="8"/>
    </row>
    <row r="6" spans="1:15" x14ac:dyDescent="0.3">
      <c r="A6" s="18">
        <v>3</v>
      </c>
      <c r="B6" s="13" t="str">
        <f>IF(훈련생명단!C8="","",훈련생명단!C8)</f>
        <v>김남연</v>
      </c>
      <c r="C6" s="153">
        <v>64</v>
      </c>
      <c r="D6" s="156">
        <f t="shared" si="1"/>
        <v>91.428571428571431</v>
      </c>
      <c r="E6" s="153"/>
      <c r="F6" s="156">
        <f t="shared" si="2"/>
        <v>0</v>
      </c>
      <c r="G6" s="159">
        <f t="shared" si="3"/>
        <v>91.428571428571431</v>
      </c>
      <c r="H6" s="66" t="str">
        <f t="shared" si="0"/>
        <v>Pass</v>
      </c>
      <c r="I6" s="126"/>
      <c r="J6" s="126"/>
      <c r="K6" s="1"/>
      <c r="L6" s="1"/>
      <c r="M6" s="7"/>
      <c r="O6" s="8"/>
    </row>
    <row r="7" spans="1:15" x14ac:dyDescent="0.3">
      <c r="A7" s="18">
        <v>4</v>
      </c>
      <c r="B7" s="13" t="str">
        <f>IF(훈련생명단!C9="","",훈련생명단!C9)</f>
        <v>김미향</v>
      </c>
      <c r="C7" s="153">
        <v>58</v>
      </c>
      <c r="D7" s="156">
        <f t="shared" si="1"/>
        <v>82.857142857142861</v>
      </c>
      <c r="E7" s="153"/>
      <c r="F7" s="156">
        <f t="shared" si="2"/>
        <v>0</v>
      </c>
      <c r="G7" s="159">
        <f t="shared" si="3"/>
        <v>82.857142857142861</v>
      </c>
      <c r="H7" s="66" t="str">
        <f t="shared" si="0"/>
        <v>Pass</v>
      </c>
      <c r="I7" s="126"/>
      <c r="J7" s="126"/>
      <c r="K7" s="1"/>
      <c r="L7" s="1"/>
      <c r="M7" s="7"/>
    </row>
    <row r="8" spans="1:15" x14ac:dyDescent="0.3">
      <c r="A8" s="18">
        <v>5</v>
      </c>
      <c r="B8" s="13" t="str">
        <f>IF(훈련생명단!C10="","",훈련생명단!C10)</f>
        <v>김영훈</v>
      </c>
      <c r="C8" s="153">
        <v>64</v>
      </c>
      <c r="D8" s="156">
        <f t="shared" si="1"/>
        <v>91.428571428571431</v>
      </c>
      <c r="E8" s="153"/>
      <c r="F8" s="156">
        <f t="shared" si="2"/>
        <v>0</v>
      </c>
      <c r="G8" s="159">
        <f t="shared" si="3"/>
        <v>91.428571428571431</v>
      </c>
      <c r="H8" s="66" t="str">
        <f t="shared" si="0"/>
        <v>Pass</v>
      </c>
      <c r="I8" s="128"/>
      <c r="J8" s="126"/>
      <c r="K8" s="1"/>
      <c r="L8" s="1"/>
      <c r="M8" s="7"/>
    </row>
    <row r="9" spans="1:15" x14ac:dyDescent="0.3">
      <c r="A9" s="18">
        <v>6</v>
      </c>
      <c r="B9" s="13" t="str">
        <f>IF(훈련생명단!C11="","",훈련생명단!C11)</f>
        <v>김은지</v>
      </c>
      <c r="C9" s="153">
        <v>64</v>
      </c>
      <c r="D9" s="156">
        <f t="shared" si="1"/>
        <v>91.428571428571431</v>
      </c>
      <c r="E9" s="153"/>
      <c r="F9" s="156">
        <f t="shared" si="2"/>
        <v>0</v>
      </c>
      <c r="G9" s="159">
        <f t="shared" si="3"/>
        <v>91.428571428571431</v>
      </c>
      <c r="H9" s="66" t="str">
        <f t="shared" si="0"/>
        <v>Pass</v>
      </c>
      <c r="I9" s="126"/>
      <c r="J9" s="126"/>
      <c r="K9" s="1"/>
      <c r="L9" s="1"/>
      <c r="M9" s="7"/>
    </row>
    <row r="10" spans="1:15" x14ac:dyDescent="0.3">
      <c r="A10" s="18">
        <v>7</v>
      </c>
      <c r="B10" s="124" t="str">
        <f>IF(훈련생명단!C12="","",훈련생명단!C12)</f>
        <v>김정서</v>
      </c>
      <c r="C10" s="153">
        <v>61</v>
      </c>
      <c r="D10" s="156">
        <f t="shared" si="1"/>
        <v>87.142857142857139</v>
      </c>
      <c r="E10" s="153"/>
      <c r="F10" s="156">
        <f t="shared" si="2"/>
        <v>0</v>
      </c>
      <c r="G10" s="159">
        <f t="shared" si="3"/>
        <v>87.142857142857139</v>
      </c>
      <c r="H10" s="66" t="str">
        <f t="shared" si="0"/>
        <v>Pass</v>
      </c>
      <c r="I10" s="126"/>
      <c r="J10" s="126"/>
      <c r="K10" s="1"/>
      <c r="L10" s="1"/>
      <c r="M10" s="7"/>
    </row>
    <row r="11" spans="1:15" x14ac:dyDescent="0.3">
      <c r="A11" s="18">
        <v>8</v>
      </c>
      <c r="B11" s="13" t="str">
        <f>IF(훈련생명단!C13="","",훈련생명단!C13)</f>
        <v>노혜진</v>
      </c>
      <c r="C11" s="153">
        <v>61</v>
      </c>
      <c r="D11" s="156">
        <f t="shared" si="1"/>
        <v>87.142857142857139</v>
      </c>
      <c r="E11" s="153"/>
      <c r="F11" s="156">
        <f t="shared" si="2"/>
        <v>0</v>
      </c>
      <c r="G11" s="159">
        <f t="shared" si="3"/>
        <v>87.142857142857139</v>
      </c>
      <c r="H11" s="66" t="str">
        <f t="shared" si="0"/>
        <v>Pass</v>
      </c>
      <c r="I11" s="128"/>
      <c r="J11" s="126"/>
      <c r="K11" s="1"/>
      <c r="L11" s="1"/>
      <c r="M11" s="7"/>
    </row>
    <row r="12" spans="1:15" x14ac:dyDescent="0.3">
      <c r="A12" s="18">
        <v>9</v>
      </c>
      <c r="B12" s="13" t="str">
        <f>IF(훈련생명단!C14="","",훈련생명단!C14)</f>
        <v>성수진</v>
      </c>
      <c r="C12" s="153">
        <v>64</v>
      </c>
      <c r="D12" s="156">
        <f t="shared" si="1"/>
        <v>91.428571428571431</v>
      </c>
      <c r="E12" s="153"/>
      <c r="F12" s="156">
        <f t="shared" si="2"/>
        <v>0</v>
      </c>
      <c r="G12" s="159">
        <f t="shared" si="3"/>
        <v>91.428571428571431</v>
      </c>
      <c r="H12" s="66" t="str">
        <f t="shared" si="0"/>
        <v>Pass</v>
      </c>
      <c r="I12" s="126"/>
      <c r="J12" s="126"/>
      <c r="K12" s="1"/>
      <c r="L12" s="1"/>
      <c r="M12" s="7"/>
    </row>
    <row r="13" spans="1:15" x14ac:dyDescent="0.3">
      <c r="A13" s="18">
        <v>10</v>
      </c>
      <c r="B13" s="13" t="str">
        <f>IF(훈련생명단!C15="","",훈련생명단!C15)</f>
        <v>송민서</v>
      </c>
      <c r="C13" s="153">
        <v>58</v>
      </c>
      <c r="D13" s="156">
        <f t="shared" si="1"/>
        <v>82.857142857142861</v>
      </c>
      <c r="E13" s="153"/>
      <c r="F13" s="156">
        <f t="shared" si="2"/>
        <v>0</v>
      </c>
      <c r="G13" s="159">
        <f t="shared" si="3"/>
        <v>82.857142857142861</v>
      </c>
      <c r="H13" s="66" t="str">
        <f t="shared" si="0"/>
        <v>Pass</v>
      </c>
      <c r="I13" s="128"/>
      <c r="J13" s="126"/>
      <c r="K13" s="1"/>
      <c r="L13" s="1"/>
      <c r="M13" s="7"/>
    </row>
    <row r="14" spans="1:15" x14ac:dyDescent="0.3">
      <c r="A14" s="18">
        <v>11</v>
      </c>
      <c r="B14" s="13" t="str">
        <f>IF(훈련생명단!C16="","",훈련생명단!C16)</f>
        <v>윤혜경</v>
      </c>
      <c r="C14" s="153">
        <v>58</v>
      </c>
      <c r="D14" s="156">
        <f t="shared" si="1"/>
        <v>82.857142857142861</v>
      </c>
      <c r="E14" s="153"/>
      <c r="F14" s="156">
        <f t="shared" si="2"/>
        <v>0</v>
      </c>
      <c r="G14" s="159">
        <f t="shared" si="3"/>
        <v>82.857142857142861</v>
      </c>
      <c r="H14" s="66" t="str">
        <f t="shared" si="0"/>
        <v>Pass</v>
      </c>
      <c r="I14" s="128"/>
      <c r="J14" s="126"/>
      <c r="K14" s="1"/>
      <c r="L14" s="1"/>
      <c r="M14" s="7"/>
    </row>
    <row r="15" spans="1:15" x14ac:dyDescent="0.3">
      <c r="A15" s="18">
        <v>12</v>
      </c>
      <c r="B15" s="13" t="str">
        <f>IF(훈련생명단!C17="","",훈련생명단!C17)</f>
        <v>이규원</v>
      </c>
      <c r="C15" s="153">
        <v>55</v>
      </c>
      <c r="D15" s="156">
        <f t="shared" si="1"/>
        <v>78.571428571428569</v>
      </c>
      <c r="E15" s="153"/>
      <c r="F15" s="156">
        <f t="shared" si="2"/>
        <v>0</v>
      </c>
      <c r="G15" s="159">
        <f t="shared" si="3"/>
        <v>78.571428571428569</v>
      </c>
      <c r="H15" s="66" t="str">
        <f t="shared" si="0"/>
        <v>Pass</v>
      </c>
      <c r="I15" s="128"/>
      <c r="J15" s="126"/>
      <c r="K15" s="1"/>
      <c r="L15" s="1"/>
      <c r="M15" s="7"/>
    </row>
    <row r="16" spans="1:15" x14ac:dyDescent="0.3">
      <c r="A16" s="18">
        <v>13</v>
      </c>
      <c r="B16" s="13" t="str">
        <f>IF(훈련생명단!C18="","",훈련생명단!C18)</f>
        <v>이동욱</v>
      </c>
      <c r="C16" s="153">
        <v>61</v>
      </c>
      <c r="D16" s="156">
        <f t="shared" si="1"/>
        <v>87.142857142857139</v>
      </c>
      <c r="E16" s="153"/>
      <c r="F16" s="156">
        <f t="shared" si="2"/>
        <v>0</v>
      </c>
      <c r="G16" s="159">
        <f t="shared" si="3"/>
        <v>87.142857142857139</v>
      </c>
      <c r="H16" s="66" t="str">
        <f t="shared" si="0"/>
        <v>Pass</v>
      </c>
      <c r="I16" s="126"/>
      <c r="J16" s="126"/>
      <c r="K16" s="1"/>
      <c r="L16" s="1"/>
      <c r="M16" s="7"/>
    </row>
    <row r="17" spans="1:13" x14ac:dyDescent="0.3">
      <c r="A17" s="18">
        <v>14</v>
      </c>
      <c r="B17" s="13" t="str">
        <f>IF(훈련생명단!C19="","",훈련생명단!C19)</f>
        <v>이은진</v>
      </c>
      <c r="C17" s="153">
        <v>67</v>
      </c>
      <c r="D17" s="156">
        <f t="shared" si="1"/>
        <v>95.714285714285722</v>
      </c>
      <c r="E17" s="153"/>
      <c r="F17" s="156">
        <f t="shared" si="2"/>
        <v>0</v>
      </c>
      <c r="G17" s="159">
        <f t="shared" si="3"/>
        <v>95.714285714285722</v>
      </c>
      <c r="H17" s="66" t="str">
        <f t="shared" si="0"/>
        <v>Pass</v>
      </c>
      <c r="I17" s="128"/>
      <c r="J17" s="126"/>
      <c r="K17" s="1"/>
      <c r="L17" s="1"/>
      <c r="M17" s="7"/>
    </row>
    <row r="18" spans="1:13" x14ac:dyDescent="0.3">
      <c r="A18" s="18">
        <v>15</v>
      </c>
      <c r="B18" s="125" t="str">
        <f>IF(훈련생명단!C20="","",훈련생명단!C20)</f>
        <v>이혜민</v>
      </c>
      <c r="C18" s="153">
        <v>64</v>
      </c>
      <c r="D18" s="156">
        <f t="shared" si="1"/>
        <v>91.428571428571431</v>
      </c>
      <c r="E18" s="153"/>
      <c r="F18" s="156">
        <f t="shared" si="2"/>
        <v>0</v>
      </c>
      <c r="G18" s="159">
        <f t="shared" si="3"/>
        <v>91.428571428571431</v>
      </c>
      <c r="H18" s="66" t="str">
        <f>IF(B18="","",IF(G18="","",IF(G18&lt;60,"Fail","Pass")))</f>
        <v>Pass</v>
      </c>
      <c r="I18" s="128"/>
      <c r="J18" s="126"/>
      <c r="K18" s="1"/>
      <c r="L18" s="1"/>
      <c r="M18" s="7"/>
    </row>
    <row r="19" spans="1:13" x14ac:dyDescent="0.3">
      <c r="A19" s="18">
        <v>16</v>
      </c>
      <c r="B19" s="13" t="str">
        <f>IF(훈련생명단!C21="","",훈련생명단!C21)</f>
        <v>정나현</v>
      </c>
      <c r="C19" s="153">
        <v>55</v>
      </c>
      <c r="D19" s="156">
        <f t="shared" si="1"/>
        <v>78.571428571428569</v>
      </c>
      <c r="E19" s="153"/>
      <c r="F19" s="156">
        <f t="shared" si="2"/>
        <v>0</v>
      </c>
      <c r="G19" s="159">
        <f t="shared" si="3"/>
        <v>78.571428571428569</v>
      </c>
      <c r="H19" s="66" t="str">
        <f>IF(B19="","",IF(G19="","",IF(G19&lt;60,"Fail","Pass")))</f>
        <v>Pass</v>
      </c>
      <c r="I19" s="126"/>
      <c r="J19" s="126"/>
      <c r="K19" s="1"/>
      <c r="L19" s="1"/>
      <c r="M19" s="7"/>
    </row>
    <row r="20" spans="1:13" x14ac:dyDescent="0.3">
      <c r="A20" s="18">
        <v>17</v>
      </c>
      <c r="B20" s="13" t="str">
        <f>IF(훈련생명단!C22="","",훈련생명단!C22)</f>
        <v>조유진</v>
      </c>
      <c r="C20" s="153">
        <v>55</v>
      </c>
      <c r="D20" s="156">
        <f t="shared" si="1"/>
        <v>78.571428571428569</v>
      </c>
      <c r="E20" s="153"/>
      <c r="F20" s="156">
        <f t="shared" si="2"/>
        <v>0</v>
      </c>
      <c r="G20" s="159">
        <f t="shared" si="3"/>
        <v>78.571428571428569</v>
      </c>
      <c r="H20" s="66" t="str">
        <f>IF(B20="","",IF(G20="","",IF(G20&lt;60,"Fail","Pass")))</f>
        <v>Pass</v>
      </c>
      <c r="I20" s="126"/>
      <c r="J20" s="126"/>
      <c r="K20" s="1"/>
      <c r="L20" s="1"/>
      <c r="M20" s="7"/>
    </row>
    <row r="21" spans="1:13" x14ac:dyDescent="0.3">
      <c r="A21" s="18">
        <v>18</v>
      </c>
      <c r="B21" s="13" t="str">
        <f>IF(훈련생명단!C23="","",훈련생명단!C23)</f>
        <v>하유정</v>
      </c>
      <c r="C21" s="153">
        <v>61</v>
      </c>
      <c r="D21" s="156">
        <f t="shared" si="1"/>
        <v>87.142857142857139</v>
      </c>
      <c r="E21" s="153"/>
      <c r="F21" s="156">
        <f t="shared" si="2"/>
        <v>0</v>
      </c>
      <c r="G21" s="159">
        <f t="shared" si="3"/>
        <v>87.142857142857139</v>
      </c>
      <c r="H21" s="66" t="str">
        <f>IF(B21="","",IF(G21="","",IF(G21&lt;60,"Fail","Pass")))</f>
        <v>Pass</v>
      </c>
      <c r="I21" s="128"/>
      <c r="J21" s="126"/>
      <c r="K21" s="1"/>
      <c r="L21" s="1"/>
      <c r="M21" s="7"/>
    </row>
    <row r="22" spans="1:13" x14ac:dyDescent="0.3">
      <c r="A22" s="18">
        <v>19</v>
      </c>
      <c r="B22" s="13" t="str">
        <f>IF(훈련생명단!C24="","",훈련생명단!C24)</f>
        <v>황다영</v>
      </c>
      <c r="C22" s="153">
        <v>61</v>
      </c>
      <c r="D22" s="156">
        <f t="shared" si="1"/>
        <v>87.142857142857139</v>
      </c>
      <c r="E22" s="153"/>
      <c r="F22" s="156">
        <f t="shared" si="2"/>
        <v>0</v>
      </c>
      <c r="G22" s="159">
        <f t="shared" si="3"/>
        <v>87.142857142857139</v>
      </c>
      <c r="H22" s="66" t="str">
        <f>IF(B22="","",IF(G22="","",IF(G22&lt;60,"Fail","Pass")))</f>
        <v>Pass</v>
      </c>
      <c r="I22" s="126"/>
      <c r="J22" s="126"/>
      <c r="K22" s="1"/>
      <c r="L22" s="1"/>
      <c r="M22" s="7"/>
    </row>
    <row r="23" spans="1:13" s="8" customFormat="1" x14ac:dyDescent="0.3">
      <c r="A23" s="18">
        <v>20</v>
      </c>
      <c r="B23" s="13" t="str">
        <f>IF(훈련생명단!C25="","",훈련생명단!C25)</f>
        <v/>
      </c>
      <c r="C23" s="153"/>
      <c r="D23" s="156">
        <f t="shared" si="1"/>
        <v>0</v>
      </c>
      <c r="E23" s="153"/>
      <c r="F23" s="156">
        <f t="shared" si="2"/>
        <v>0</v>
      </c>
      <c r="G23" s="159" t="str">
        <f t="shared" si="3"/>
        <v>-</v>
      </c>
      <c r="H23" s="66" t="str">
        <f t="shared" ref="H23:H33" si="4">IF(B23="","",IF(G23="","",IF(G23&lt;60,"Fail","Pass")))</f>
        <v/>
      </c>
      <c r="I23" s="126"/>
      <c r="J23" s="126"/>
      <c r="K23" s="1"/>
      <c r="L23" s="1"/>
      <c r="M23" s="7"/>
    </row>
    <row r="24" spans="1:13" s="8" customFormat="1" x14ac:dyDescent="0.3">
      <c r="A24" s="18">
        <v>21</v>
      </c>
      <c r="B24" s="13" t="str">
        <f>IF(훈련생명단!C26="","",훈련생명단!C26)</f>
        <v/>
      </c>
      <c r="C24" s="153"/>
      <c r="D24" s="156">
        <f t="shared" si="1"/>
        <v>0</v>
      </c>
      <c r="E24" s="153"/>
      <c r="F24" s="156">
        <f t="shared" si="2"/>
        <v>0</v>
      </c>
      <c r="G24" s="159" t="str">
        <f t="shared" si="3"/>
        <v>-</v>
      </c>
      <c r="H24" s="66" t="str">
        <f t="shared" si="4"/>
        <v/>
      </c>
      <c r="I24" s="103"/>
      <c r="J24" s="58"/>
      <c r="K24" s="1"/>
      <c r="L24" s="1"/>
      <c r="M24" s="7"/>
    </row>
    <row r="25" spans="1:13" s="8" customFormat="1" x14ac:dyDescent="0.3">
      <c r="A25" s="18">
        <v>22</v>
      </c>
      <c r="B25" s="13" t="str">
        <f>IF(훈련생명단!C27="","",훈련생명단!C27)</f>
        <v/>
      </c>
      <c r="C25" s="153"/>
      <c r="D25" s="156">
        <f t="shared" si="1"/>
        <v>0</v>
      </c>
      <c r="E25" s="153"/>
      <c r="F25" s="156">
        <f t="shared" si="2"/>
        <v>0</v>
      </c>
      <c r="G25" s="159" t="str">
        <f t="shared" si="3"/>
        <v>-</v>
      </c>
      <c r="H25" s="66" t="str">
        <f t="shared" si="4"/>
        <v/>
      </c>
      <c r="I25" s="103"/>
      <c r="J25" s="58"/>
      <c r="K25" s="1"/>
      <c r="L25" s="1"/>
      <c r="M25" s="7"/>
    </row>
    <row r="26" spans="1:13" s="8" customFormat="1" x14ac:dyDescent="0.3">
      <c r="A26" s="18">
        <v>23</v>
      </c>
      <c r="B26" s="13" t="str">
        <f>IF(훈련생명단!C28="","",훈련생명단!C28)</f>
        <v/>
      </c>
      <c r="C26" s="153"/>
      <c r="D26" s="156">
        <f t="shared" si="1"/>
        <v>0</v>
      </c>
      <c r="E26" s="153"/>
      <c r="F26" s="156">
        <f t="shared" si="2"/>
        <v>0</v>
      </c>
      <c r="G26" s="159" t="str">
        <f t="shared" si="3"/>
        <v>-</v>
      </c>
      <c r="H26" s="66" t="str">
        <f t="shared" si="4"/>
        <v/>
      </c>
      <c r="I26" s="58"/>
      <c r="J26" s="58"/>
      <c r="K26" s="1"/>
      <c r="L26" s="1"/>
      <c r="M26" s="7"/>
    </row>
    <row r="27" spans="1:13" s="8" customFormat="1" x14ac:dyDescent="0.3">
      <c r="A27" s="18">
        <v>24</v>
      </c>
      <c r="B27" s="13" t="str">
        <f>IF(훈련생명단!C29="","",훈련생명단!C29)</f>
        <v/>
      </c>
      <c r="C27" s="153"/>
      <c r="D27" s="156">
        <f t="shared" si="1"/>
        <v>0</v>
      </c>
      <c r="E27" s="153"/>
      <c r="F27" s="156">
        <f t="shared" si="2"/>
        <v>0</v>
      </c>
      <c r="G27" s="159" t="str">
        <f t="shared" si="3"/>
        <v>-</v>
      </c>
      <c r="H27" s="66" t="str">
        <f t="shared" si="4"/>
        <v/>
      </c>
      <c r="I27" s="103"/>
      <c r="J27" s="58"/>
      <c r="K27" s="1"/>
      <c r="L27" s="1"/>
      <c r="M27" s="7"/>
    </row>
    <row r="28" spans="1:13" s="8" customFormat="1" x14ac:dyDescent="0.3">
      <c r="A28" s="18">
        <v>25</v>
      </c>
      <c r="B28" s="13" t="str">
        <f>IF(훈련생명단!C30="","",훈련생명단!C30)</f>
        <v/>
      </c>
      <c r="C28" s="153"/>
      <c r="D28" s="156">
        <f t="shared" si="1"/>
        <v>0</v>
      </c>
      <c r="E28" s="153"/>
      <c r="F28" s="156">
        <f t="shared" si="2"/>
        <v>0</v>
      </c>
      <c r="G28" s="159" t="str">
        <f t="shared" si="3"/>
        <v>-</v>
      </c>
      <c r="H28" s="66" t="str">
        <f t="shared" si="4"/>
        <v/>
      </c>
      <c r="I28" s="58"/>
      <c r="J28" s="58"/>
      <c r="K28" s="1"/>
      <c r="L28" s="1"/>
      <c r="M28" s="7"/>
    </row>
    <row r="29" spans="1:13" s="8" customFormat="1" x14ac:dyDescent="0.3">
      <c r="A29" s="18">
        <v>26</v>
      </c>
      <c r="B29" s="13" t="str">
        <f>IF(훈련생명단!C31="","",훈련생명단!C31)</f>
        <v/>
      </c>
      <c r="C29" s="153"/>
      <c r="D29" s="156">
        <f t="shared" si="1"/>
        <v>0</v>
      </c>
      <c r="E29" s="153"/>
      <c r="F29" s="156">
        <f t="shared" si="2"/>
        <v>0</v>
      </c>
      <c r="G29" s="159" t="str">
        <f t="shared" si="3"/>
        <v>-</v>
      </c>
      <c r="H29" s="66" t="str">
        <f t="shared" si="4"/>
        <v/>
      </c>
      <c r="I29" s="58"/>
      <c r="J29" s="58"/>
      <c r="K29" s="1"/>
      <c r="L29" s="1"/>
      <c r="M29" s="7"/>
    </row>
    <row r="30" spans="1:13" s="8" customFormat="1" x14ac:dyDescent="0.3">
      <c r="A30" s="18">
        <v>27</v>
      </c>
      <c r="B30" s="13" t="str">
        <f>IF(훈련생명단!C32="","",훈련생명단!C32)</f>
        <v/>
      </c>
      <c r="C30" s="153"/>
      <c r="D30" s="156">
        <f t="shared" si="1"/>
        <v>0</v>
      </c>
      <c r="E30" s="153"/>
      <c r="F30" s="156">
        <f t="shared" si="2"/>
        <v>0</v>
      </c>
      <c r="G30" s="159" t="str">
        <f t="shared" si="3"/>
        <v>-</v>
      </c>
      <c r="H30" s="66" t="str">
        <f t="shared" si="4"/>
        <v/>
      </c>
      <c r="I30" s="103"/>
      <c r="J30" s="58"/>
      <c r="K30" s="1"/>
      <c r="L30" s="1"/>
      <c r="M30" s="7"/>
    </row>
    <row r="31" spans="1:13" s="8" customFormat="1" x14ac:dyDescent="0.3">
      <c r="A31" s="18">
        <v>28</v>
      </c>
      <c r="B31" s="13" t="str">
        <f>IF(훈련생명단!C33="","",훈련생명단!C33)</f>
        <v/>
      </c>
      <c r="C31" s="153"/>
      <c r="D31" s="156">
        <f t="shared" si="1"/>
        <v>0</v>
      </c>
      <c r="E31" s="153"/>
      <c r="F31" s="156">
        <f t="shared" si="2"/>
        <v>0</v>
      </c>
      <c r="G31" s="159" t="str">
        <f t="shared" si="3"/>
        <v>-</v>
      </c>
      <c r="H31" s="66" t="str">
        <f t="shared" si="4"/>
        <v/>
      </c>
      <c r="I31" s="103"/>
      <c r="J31" s="58"/>
      <c r="K31" s="1"/>
      <c r="L31" s="1"/>
      <c r="M31" s="7"/>
    </row>
    <row r="32" spans="1:13" s="8" customFormat="1" x14ac:dyDescent="0.3">
      <c r="A32" s="18">
        <v>29</v>
      </c>
      <c r="B32" s="13" t="str">
        <f>IF(훈련생명단!C34="","",훈련생명단!C34)</f>
        <v/>
      </c>
      <c r="C32" s="153"/>
      <c r="D32" s="156">
        <f t="shared" si="1"/>
        <v>0</v>
      </c>
      <c r="E32" s="153"/>
      <c r="F32" s="156">
        <f t="shared" si="2"/>
        <v>0</v>
      </c>
      <c r="G32" s="159" t="str">
        <f t="shared" si="3"/>
        <v>-</v>
      </c>
      <c r="H32" s="66" t="str">
        <f t="shared" si="4"/>
        <v/>
      </c>
      <c r="I32" s="103"/>
      <c r="J32" s="58"/>
      <c r="K32" s="1"/>
      <c r="L32" s="1"/>
      <c r="M32" s="7"/>
    </row>
    <row r="33" spans="1:15" ht="17.25" thickBot="1" x14ac:dyDescent="0.35">
      <c r="A33" s="19">
        <v>30</v>
      </c>
      <c r="B33" s="15" t="str">
        <f>IF(훈련생명단!C35="","",훈련생명단!C35)</f>
        <v/>
      </c>
      <c r="C33" s="154"/>
      <c r="D33" s="157">
        <f t="shared" si="1"/>
        <v>0</v>
      </c>
      <c r="E33" s="154"/>
      <c r="F33" s="157">
        <f t="shared" si="2"/>
        <v>0</v>
      </c>
      <c r="G33" s="160" t="str">
        <f t="shared" si="3"/>
        <v>-</v>
      </c>
      <c r="H33" s="67" t="str">
        <f t="shared" si="4"/>
        <v/>
      </c>
      <c r="I33" s="104"/>
      <c r="J33" s="59"/>
      <c r="K33" s="101"/>
      <c r="L33" s="101"/>
      <c r="M33" s="102"/>
    </row>
    <row r="34" spans="1:15" ht="17.25" thickBot="1" x14ac:dyDescent="0.35">
      <c r="A34" t="s">
        <v>110</v>
      </c>
      <c r="B34">
        <f ca="1">COUNTA(훈련생명단!C6:C35)-B35</f>
        <v>19</v>
      </c>
      <c r="F34" s="115" t="s">
        <v>9</v>
      </c>
      <c r="G34" s="116">
        <f>SUM(G4:G33)</f>
        <v>1642.8571428571431</v>
      </c>
      <c r="H34" s="117"/>
      <c r="I34" s="118">
        <f>VLOOKUP('전체 훈련생 평가 채점표'!L2,'기초데이타(작성필히)'!$A$5:$P$19,13)</f>
        <v>44524</v>
      </c>
    </row>
    <row r="35" spans="1:15" x14ac:dyDescent="0.3">
      <c r="A35" s="122"/>
      <c r="B35">
        <f ca="1">colorcount($A$4:$B$33,A35)</f>
        <v>0</v>
      </c>
      <c r="F35" t="s">
        <v>124</v>
      </c>
      <c r="G35" s="123">
        <f ca="1">G34/B34</f>
        <v>86.466165413533844</v>
      </c>
      <c r="O35" s="145"/>
    </row>
    <row r="36" spans="1:15" x14ac:dyDescent="0.3">
      <c r="A36" s="149" t="s">
        <v>130</v>
      </c>
      <c r="B36" s="150"/>
      <c r="C36" s="149"/>
      <c r="D36" s="149"/>
      <c r="E36" s="149"/>
    </row>
    <row r="37" spans="1:15" x14ac:dyDescent="0.3">
      <c r="A37" s="149" t="s">
        <v>131</v>
      </c>
      <c r="B37" s="149"/>
      <c r="C37" s="149"/>
      <c r="D37" s="149"/>
      <c r="E37" s="149"/>
    </row>
  </sheetData>
  <mergeCells count="7">
    <mergeCell ref="K1:K3"/>
    <mergeCell ref="L1:L3"/>
    <mergeCell ref="M1:M3"/>
    <mergeCell ref="B1:B3"/>
    <mergeCell ref="G1:G3"/>
    <mergeCell ref="H1:H3"/>
    <mergeCell ref="I1:J2"/>
  </mergeCells>
  <phoneticPr fontId="2" type="noConversion"/>
  <pageMargins left="0.25" right="0.25" top="0.75" bottom="0.75" header="0.3" footer="0.3"/>
  <pageSetup paperSize="9" scale="68" fitToHeight="0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AI87"/>
  <sheetViews>
    <sheetView showWhiteSpace="0" view="pageBreakPreview" zoomScaleNormal="87" zoomScaleSheetLayoutView="100" workbookViewId="0">
      <selection activeCell="P21" sqref="P21"/>
    </sheetView>
  </sheetViews>
  <sheetFormatPr defaultRowHeight="16.5" x14ac:dyDescent="0.3"/>
  <cols>
    <col min="1" max="1" width="6.75" style="8" bestFit="1" customWidth="1"/>
    <col min="2" max="2" width="9.25" style="8" bestFit="1" customWidth="1"/>
    <col min="3" max="3" width="8.125" style="8" bestFit="1" customWidth="1"/>
    <col min="4" max="4" width="6.875" style="8" customWidth="1"/>
    <col min="5" max="7" width="10.625" style="8" customWidth="1"/>
    <col min="8" max="8" width="7.875" style="8" bestFit="1" customWidth="1"/>
    <col min="9" max="9" width="8.375" style="8" customWidth="1"/>
    <col min="10" max="16384" width="9" style="8"/>
  </cols>
  <sheetData>
    <row r="1" spans="1:35" ht="24.95" customHeight="1" x14ac:dyDescent="0.3">
      <c r="A1" s="227" t="s">
        <v>15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9" t="s">
        <v>1</v>
      </c>
    </row>
    <row r="2" spans="1:35" ht="24" customHeight="1" x14ac:dyDescent="0.3">
      <c r="A2" s="20" t="s">
        <v>16</v>
      </c>
      <c r="B2" s="20">
        <f>VLOOKUP(L2,'기초데이타(작성필히)'!$A$5:$P$19,3)</f>
        <v>2021</v>
      </c>
      <c r="C2" s="20" t="s">
        <v>17</v>
      </c>
      <c r="D2" s="228" t="str">
        <f>VLOOKUP(L2,'기초데이타(작성필히)'!$A$5:$P$19,4)</f>
        <v>[디지털디자인]반응형 웹디자인(UIUX) &amp; 웹퍼블리셔 디지털 실무 양성과정 A-5</v>
      </c>
      <c r="E2" s="228"/>
      <c r="F2" s="228"/>
      <c r="G2" s="20" t="s">
        <v>18</v>
      </c>
      <c r="H2" s="229" t="str">
        <f>VLOOKUP(L2,'기초데이타(작성필히)'!$A$5:$P$19,5)</f>
        <v>21.08.31 ~ 22.02.07</v>
      </c>
      <c r="I2" s="229"/>
      <c r="J2" s="20" t="s">
        <v>19</v>
      </c>
      <c r="K2" s="20" t="str">
        <f>VLOOKUP(L2,'기초데이타(작성필히)'!$A$5:$P$19,6)</f>
        <v>760H</v>
      </c>
      <c r="L2" s="114">
        <v>11</v>
      </c>
    </row>
    <row r="3" spans="1:35" ht="24" customHeight="1" x14ac:dyDescent="0.3">
      <c r="A3" s="230" t="s">
        <v>20</v>
      </c>
      <c r="B3" s="231"/>
      <c r="C3" s="232" t="str">
        <f>VLOOKUP(L2,'기초데이타(작성필히)'!$A$5:$P$19,7)</f>
        <v>스타일가이드제작 및 시안디자인 제작2</v>
      </c>
      <c r="D3" s="233"/>
      <c r="E3" s="233"/>
      <c r="F3" s="234"/>
      <c r="G3" s="21" t="s">
        <v>21</v>
      </c>
      <c r="H3" s="235" t="str">
        <f>VLOOKUP(L2,'기초데이타(작성필히)'!$A$5:$P$19,10)</f>
        <v>21.11.11~21.11.24</v>
      </c>
      <c r="I3" s="235"/>
      <c r="J3" s="21" t="s">
        <v>22</v>
      </c>
      <c r="K3" s="21">
        <f>VLOOKUP(L2,'기초데이타(작성필히)'!$A$5:$P$19,11)</f>
        <v>70</v>
      </c>
    </row>
    <row r="4" spans="1:35" ht="24" customHeight="1" x14ac:dyDescent="0.3">
      <c r="A4" s="206" t="s">
        <v>23</v>
      </c>
      <c r="B4" s="206"/>
      <c r="C4" s="207" t="str">
        <f>VLOOKUP(L2,'기초데이타(작성필히)'!$A$5:$P$19,9)</f>
        <v>[0803020911_18v3]  스마트문화앱UX설계</v>
      </c>
      <c r="D4" s="207"/>
      <c r="E4" s="207"/>
      <c r="F4" s="207"/>
      <c r="G4" s="90" t="s">
        <v>24</v>
      </c>
      <c r="H4" s="207" t="str">
        <f>VLOOKUP(L2,'기초데이타(작성필히)'!$A$5:$P$19,12)</f>
        <v>이창훈</v>
      </c>
      <c r="I4" s="207"/>
      <c r="J4" s="207"/>
      <c r="K4" s="91" t="s">
        <v>25</v>
      </c>
    </row>
    <row r="5" spans="1:35" ht="15" customHeight="1" x14ac:dyDescent="0.3">
      <c r="A5" s="208"/>
      <c r="B5" s="208"/>
      <c r="C5" s="208"/>
      <c r="D5" s="208"/>
      <c r="E5" s="208"/>
      <c r="F5" s="208"/>
      <c r="G5" s="208"/>
      <c r="H5" s="208"/>
      <c r="I5" s="208"/>
      <c r="J5" s="208"/>
      <c r="K5" s="208"/>
    </row>
    <row r="6" spans="1:35" ht="14.25" customHeight="1" x14ac:dyDescent="0.3">
      <c r="A6" s="209" t="s">
        <v>7</v>
      </c>
      <c r="B6" s="209" t="s">
        <v>26</v>
      </c>
      <c r="C6" s="212" t="s">
        <v>10</v>
      </c>
      <c r="D6" s="213"/>
      <c r="E6" s="214" t="s">
        <v>27</v>
      </c>
      <c r="F6" s="215"/>
      <c r="G6" s="215"/>
      <c r="H6" s="215"/>
      <c r="I6" s="216" t="s">
        <v>118</v>
      </c>
      <c r="J6" s="217"/>
      <c r="K6" s="218"/>
    </row>
    <row r="7" spans="1:35" ht="14.25" customHeight="1" x14ac:dyDescent="0.3">
      <c r="A7" s="210"/>
      <c r="B7" s="210"/>
      <c r="C7" s="225" t="s">
        <v>28</v>
      </c>
      <c r="D7" s="226"/>
      <c r="E7" s="22" t="s">
        <v>119</v>
      </c>
      <c r="F7" s="22" t="s">
        <v>120</v>
      </c>
      <c r="G7" s="22" t="s">
        <v>121</v>
      </c>
      <c r="H7" s="23"/>
      <c r="I7" s="219"/>
      <c r="J7" s="220"/>
      <c r="K7" s="221"/>
    </row>
    <row r="8" spans="1:35" ht="21.75" customHeight="1" x14ac:dyDescent="0.3">
      <c r="A8" s="211"/>
      <c r="B8" s="211"/>
      <c r="C8" s="225"/>
      <c r="D8" s="226"/>
      <c r="E8" s="24"/>
      <c r="F8" s="24" t="str">
        <f>VLOOKUP('전체 훈련생 평가 채점표'!$L$2,'기초데이타(작성필히)'!$A$5:$P$26,15)</f>
        <v>포트폴리오</v>
      </c>
      <c r="G8" s="22">
        <f>VLOOKUP('전체 훈련생 평가 채점표'!$L$2,'기초데이타(작성필히)'!$A$5:$P$26,14)</f>
        <v>0</v>
      </c>
      <c r="H8" s="25" t="s">
        <v>29</v>
      </c>
      <c r="I8" s="222"/>
      <c r="J8" s="223"/>
      <c r="K8" s="224"/>
    </row>
    <row r="9" spans="1:35" ht="20.100000000000001" customHeight="1" x14ac:dyDescent="0.3">
      <c r="A9" s="92">
        <v>1</v>
      </c>
      <c r="B9" s="92" t="str">
        <f>IF(훈련생명단!C6="","",훈련생명단!C6)</f>
        <v>강민재</v>
      </c>
      <c r="C9" s="93" t="str">
        <f>IF(H9="","",IF(H9&gt;=60,"Pass","Fail"))</f>
        <v>Pass</v>
      </c>
      <c r="D9" s="93">
        <f>IF(H9="","",IF(H9&gt;=90,5,IF(H9&gt;=80,4,IF(H9&gt;=70,3,IF(H9&gt;=60,2,1)))))</f>
        <v>4</v>
      </c>
      <c r="E9" s="94"/>
      <c r="F9" s="94">
        <f>IF(B9="","",점수계산!D4)</f>
        <v>82.857142857142861</v>
      </c>
      <c r="G9" s="94">
        <f>IF(B9="","",점수계산!F4)</f>
        <v>0</v>
      </c>
      <c r="H9" s="94">
        <f>E9+F9+G9</f>
        <v>82.857142857142861</v>
      </c>
      <c r="I9" s="194"/>
      <c r="J9" s="195"/>
      <c r="K9" s="196"/>
      <c r="AF9" s="205" t="str">
        <f>VLOOKUP($L$2,'기초데이타(작성필히)'!$A$5:$P$19,9)</f>
        <v>[0803020911_18v3]  스마트문화앱UX설계</v>
      </c>
      <c r="AG9" s="205"/>
      <c r="AH9" s="205"/>
      <c r="AI9" s="205"/>
    </row>
    <row r="10" spans="1:35" ht="21" customHeight="1" x14ac:dyDescent="0.3">
      <c r="A10" s="92">
        <v>2</v>
      </c>
      <c r="B10" s="92" t="str">
        <f>IF(훈련생명단!C7="","",훈련생명단!C7)</f>
        <v>권송이</v>
      </c>
      <c r="C10" s="93" t="str">
        <f t="shared" ref="C10:C28" si="0">IF(H10="","",IF(H10&gt;=60,"Pass","Fail"))</f>
        <v>Pass</v>
      </c>
      <c r="D10" s="93">
        <f t="shared" ref="D10:D28" si="1">IF(H10="","",IF(H10&gt;=90,5,IF(H10&gt;=80,4,IF(H10&gt;=70,3,IF(H10&gt;=60,2,1)))))</f>
        <v>4</v>
      </c>
      <c r="E10" s="94"/>
      <c r="F10" s="94">
        <f>IF(B10="","",점수계산!D5)</f>
        <v>87.142857142857139</v>
      </c>
      <c r="G10" s="94">
        <f>IF(B10="","",점수계산!F5)</f>
        <v>0</v>
      </c>
      <c r="H10" s="94">
        <f t="shared" ref="H10:H28" si="2">IF(B10="","",IF(F10="",G10,F10+G10))</f>
        <v>87.142857142857139</v>
      </c>
      <c r="I10" s="194"/>
      <c r="J10" s="195"/>
      <c r="K10" s="196"/>
      <c r="AF10" s="26" t="s">
        <v>30</v>
      </c>
      <c r="AG10" s="27" t="s">
        <v>31</v>
      </c>
      <c r="AH10" s="27" t="s">
        <v>32</v>
      </c>
      <c r="AI10" s="28" t="s">
        <v>33</v>
      </c>
    </row>
    <row r="11" spans="1:35" ht="21" customHeight="1" x14ac:dyDescent="0.3">
      <c r="A11" s="92">
        <v>3</v>
      </c>
      <c r="B11" s="92" t="str">
        <f>IF(훈련생명단!C8="","",훈련생명단!C8)</f>
        <v>김남연</v>
      </c>
      <c r="C11" s="93" t="str">
        <f t="shared" si="0"/>
        <v>Pass</v>
      </c>
      <c r="D11" s="93">
        <f t="shared" si="1"/>
        <v>5</v>
      </c>
      <c r="E11" s="94"/>
      <c r="F11" s="94">
        <f>IF(B11="","",점수계산!D6)</f>
        <v>91.428571428571431</v>
      </c>
      <c r="G11" s="94">
        <f>IF(B11="","",점수계산!F6)</f>
        <v>0</v>
      </c>
      <c r="H11" s="94">
        <f t="shared" si="2"/>
        <v>91.428571428571431</v>
      </c>
      <c r="I11" s="194"/>
      <c r="J11" s="195"/>
      <c r="K11" s="196"/>
      <c r="AF11" s="29">
        <v>1</v>
      </c>
      <c r="AG11" s="30" t="s">
        <v>34</v>
      </c>
      <c r="AH11" s="31">
        <f>COUNTIF($H$9:$H$38,"&gt;=" &amp; 90)</f>
        <v>6</v>
      </c>
      <c r="AI11" s="32">
        <f>AH11/$AH$16</f>
        <v>0.31578947368421051</v>
      </c>
    </row>
    <row r="12" spans="1:35" ht="21" customHeight="1" x14ac:dyDescent="0.3">
      <c r="A12" s="92">
        <v>4</v>
      </c>
      <c r="B12" s="92" t="str">
        <f>IF(훈련생명단!C9="","",훈련생명단!C9)</f>
        <v>김미향</v>
      </c>
      <c r="C12" s="93" t="str">
        <f t="shared" si="0"/>
        <v>Pass</v>
      </c>
      <c r="D12" s="93">
        <f t="shared" si="1"/>
        <v>4</v>
      </c>
      <c r="E12" s="94"/>
      <c r="F12" s="94">
        <f>IF(B12="","",점수계산!D7)</f>
        <v>82.857142857142861</v>
      </c>
      <c r="G12" s="94">
        <f>IF(B12="","",점수계산!F7)</f>
        <v>0</v>
      </c>
      <c r="H12" s="94">
        <f t="shared" si="2"/>
        <v>82.857142857142861</v>
      </c>
      <c r="I12" s="194"/>
      <c r="J12" s="195"/>
      <c r="K12" s="196"/>
      <c r="AF12" s="33">
        <v>2</v>
      </c>
      <c r="AG12" s="34" t="s">
        <v>35</v>
      </c>
      <c r="AH12" s="35">
        <f>COUNTIF($H$9:$H$38,"&gt;=" &amp; 80)-AH11</f>
        <v>10</v>
      </c>
      <c r="AI12" s="36">
        <f>AH12/$AH$16</f>
        <v>0.52631578947368418</v>
      </c>
    </row>
    <row r="13" spans="1:35" ht="21" customHeight="1" x14ac:dyDescent="0.3">
      <c r="A13" s="92">
        <v>5</v>
      </c>
      <c r="B13" s="92" t="str">
        <f>IF(훈련생명단!C10="","",훈련생명단!C10)</f>
        <v>김영훈</v>
      </c>
      <c r="C13" s="93" t="str">
        <f t="shared" si="0"/>
        <v>Pass</v>
      </c>
      <c r="D13" s="93">
        <f t="shared" si="1"/>
        <v>5</v>
      </c>
      <c r="E13" s="94"/>
      <c r="F13" s="94">
        <f>IF(B13="","",점수계산!D8)</f>
        <v>91.428571428571431</v>
      </c>
      <c r="G13" s="94">
        <f>IF(B13="","",점수계산!F8)</f>
        <v>0</v>
      </c>
      <c r="H13" s="94">
        <f t="shared" si="2"/>
        <v>91.428571428571431</v>
      </c>
      <c r="I13" s="194"/>
      <c r="J13" s="195"/>
      <c r="K13" s="196"/>
      <c r="AF13" s="33">
        <v>3</v>
      </c>
      <c r="AG13" s="34" t="s">
        <v>36</v>
      </c>
      <c r="AH13" s="35">
        <f>COUNTIF($H$9:$H$38,"&gt;=" &amp; 70)-AH11-AH12</f>
        <v>3</v>
      </c>
      <c r="AI13" s="36">
        <f>AH13/$AH$16</f>
        <v>0.15789473684210525</v>
      </c>
    </row>
    <row r="14" spans="1:35" ht="21" customHeight="1" x14ac:dyDescent="0.3">
      <c r="A14" s="95">
        <v>6</v>
      </c>
      <c r="B14" s="92" t="str">
        <f>IF(훈련생명단!C11="","",훈련생명단!C11)</f>
        <v>김은지</v>
      </c>
      <c r="C14" s="93" t="str">
        <f t="shared" si="0"/>
        <v>Pass</v>
      </c>
      <c r="D14" s="93">
        <f t="shared" si="1"/>
        <v>5</v>
      </c>
      <c r="E14" s="94"/>
      <c r="F14" s="94">
        <f>IF(B14="","",점수계산!D9)</f>
        <v>91.428571428571431</v>
      </c>
      <c r="G14" s="94">
        <f>IF(B14="","",점수계산!F9)</f>
        <v>0</v>
      </c>
      <c r="H14" s="94">
        <f t="shared" si="2"/>
        <v>91.428571428571431</v>
      </c>
      <c r="I14" s="194"/>
      <c r="J14" s="195"/>
      <c r="K14" s="196"/>
      <c r="AF14" s="33">
        <v>4</v>
      </c>
      <c r="AG14" s="34" t="s">
        <v>37</v>
      </c>
      <c r="AH14" s="35">
        <f>COUNTIF($H$9:$H$38,"&gt;=" &amp; 60)-AH11-AH12-AH13</f>
        <v>0</v>
      </c>
      <c r="AI14" s="36">
        <f>AH14/$AH$16</f>
        <v>0</v>
      </c>
    </row>
    <row r="15" spans="1:35" ht="21" customHeight="1" x14ac:dyDescent="0.3">
      <c r="A15" s="96">
        <v>7</v>
      </c>
      <c r="B15" s="92" t="str">
        <f>IF(훈련생명단!C12="","",훈련생명단!C12)</f>
        <v>김정서</v>
      </c>
      <c r="C15" s="93" t="str">
        <f t="shared" si="0"/>
        <v>Pass</v>
      </c>
      <c r="D15" s="93">
        <f t="shared" si="1"/>
        <v>4</v>
      </c>
      <c r="E15" s="94"/>
      <c r="F15" s="94">
        <f>IF(B15="","",점수계산!D10)</f>
        <v>87.142857142857139</v>
      </c>
      <c r="G15" s="94">
        <f>IF(B15="","",점수계산!F10)</f>
        <v>0</v>
      </c>
      <c r="H15" s="94">
        <f t="shared" si="2"/>
        <v>87.142857142857139</v>
      </c>
      <c r="I15" s="194"/>
      <c r="J15" s="195"/>
      <c r="K15" s="196"/>
      <c r="AF15" s="33">
        <v>5</v>
      </c>
      <c r="AG15" s="34" t="s">
        <v>38</v>
      </c>
      <c r="AH15" s="35">
        <f>COUNTIF($H$9:$H$38,"&gt;=" &amp; 0)-AH11-AH12-AH13-AH14</f>
        <v>0</v>
      </c>
      <c r="AI15" s="36">
        <f>AH15/$AH$16</f>
        <v>0</v>
      </c>
    </row>
    <row r="16" spans="1:35" ht="21" customHeight="1" x14ac:dyDescent="0.3">
      <c r="A16" s="96">
        <v>8</v>
      </c>
      <c r="B16" s="92" t="str">
        <f>IF(훈련생명단!C13="","",훈련생명단!C13)</f>
        <v>노혜진</v>
      </c>
      <c r="C16" s="93" t="str">
        <f t="shared" si="0"/>
        <v>Pass</v>
      </c>
      <c r="D16" s="93">
        <f t="shared" si="1"/>
        <v>4</v>
      </c>
      <c r="E16" s="94"/>
      <c r="F16" s="94">
        <f>IF(B16="","",점수계산!D11)</f>
        <v>87.142857142857139</v>
      </c>
      <c r="G16" s="94">
        <f>IF(B16="","",점수계산!F11)</f>
        <v>0</v>
      </c>
      <c r="H16" s="94">
        <f t="shared" si="2"/>
        <v>87.142857142857139</v>
      </c>
      <c r="I16" s="194"/>
      <c r="J16" s="195"/>
      <c r="K16" s="196"/>
      <c r="AF16" s="37" t="s">
        <v>39</v>
      </c>
      <c r="AG16" s="38"/>
      <c r="AH16" s="39">
        <f>SUM(AH11:AH15)</f>
        <v>19</v>
      </c>
      <c r="AI16" s="40" t="s">
        <v>40</v>
      </c>
    </row>
    <row r="17" spans="1:11" ht="21" customHeight="1" x14ac:dyDescent="0.3">
      <c r="A17" s="96">
        <v>9</v>
      </c>
      <c r="B17" s="92" t="str">
        <f>IF(훈련생명단!C14="","",훈련생명단!C14)</f>
        <v>성수진</v>
      </c>
      <c r="C17" s="93" t="str">
        <f t="shared" si="0"/>
        <v>Pass</v>
      </c>
      <c r="D17" s="93">
        <f t="shared" si="1"/>
        <v>5</v>
      </c>
      <c r="E17" s="94"/>
      <c r="F17" s="94">
        <f>IF(B17="","",점수계산!D12)</f>
        <v>91.428571428571431</v>
      </c>
      <c r="G17" s="94">
        <f>IF(B17="","",점수계산!F12)</f>
        <v>0</v>
      </c>
      <c r="H17" s="94">
        <f t="shared" si="2"/>
        <v>91.428571428571431</v>
      </c>
      <c r="I17" s="194"/>
      <c r="J17" s="195"/>
      <c r="K17" s="196"/>
    </row>
    <row r="18" spans="1:11" ht="21" customHeight="1" x14ac:dyDescent="0.3">
      <c r="A18" s="96">
        <v>10</v>
      </c>
      <c r="B18" s="92" t="str">
        <f>IF(훈련생명단!C15="","",훈련생명단!C15)</f>
        <v>송민서</v>
      </c>
      <c r="C18" s="93" t="str">
        <f t="shared" si="0"/>
        <v>Pass</v>
      </c>
      <c r="D18" s="93">
        <f t="shared" si="1"/>
        <v>4</v>
      </c>
      <c r="E18" s="94"/>
      <c r="F18" s="94">
        <f>IF(B18="","",점수계산!D13)</f>
        <v>82.857142857142861</v>
      </c>
      <c r="G18" s="94">
        <f>IF(B18="","",점수계산!F13)</f>
        <v>0</v>
      </c>
      <c r="H18" s="94">
        <f t="shared" si="2"/>
        <v>82.857142857142861</v>
      </c>
      <c r="I18" s="194"/>
      <c r="J18" s="195"/>
      <c r="K18" s="196"/>
    </row>
    <row r="19" spans="1:11" ht="21" customHeight="1" x14ac:dyDescent="0.3">
      <c r="A19" s="96">
        <v>11</v>
      </c>
      <c r="B19" s="92" t="str">
        <f>IF(훈련생명단!C16="","",훈련생명단!C16)</f>
        <v>윤혜경</v>
      </c>
      <c r="C19" s="93" t="str">
        <f t="shared" si="0"/>
        <v>Pass</v>
      </c>
      <c r="D19" s="93">
        <f t="shared" si="1"/>
        <v>4</v>
      </c>
      <c r="E19" s="94"/>
      <c r="F19" s="94">
        <f>IF(B19="","",점수계산!D14)</f>
        <v>82.857142857142861</v>
      </c>
      <c r="G19" s="94">
        <f>IF(B19="","",점수계산!F14)</f>
        <v>0</v>
      </c>
      <c r="H19" s="94">
        <f t="shared" si="2"/>
        <v>82.857142857142861</v>
      </c>
      <c r="I19" s="194"/>
      <c r="J19" s="195"/>
      <c r="K19" s="196"/>
    </row>
    <row r="20" spans="1:11" ht="21" customHeight="1" x14ac:dyDescent="0.3">
      <c r="A20" s="96">
        <v>12</v>
      </c>
      <c r="B20" s="92" t="str">
        <f>IF(훈련생명단!C17="","",훈련생명단!C17)</f>
        <v>이규원</v>
      </c>
      <c r="C20" s="93" t="str">
        <f t="shared" si="0"/>
        <v>Pass</v>
      </c>
      <c r="D20" s="93">
        <f t="shared" si="1"/>
        <v>3</v>
      </c>
      <c r="E20" s="94"/>
      <c r="F20" s="94">
        <f>IF(B20="","",점수계산!D15)</f>
        <v>78.571428571428569</v>
      </c>
      <c r="G20" s="94">
        <f>IF(B20="","",점수계산!F15)</f>
        <v>0</v>
      </c>
      <c r="H20" s="94">
        <f t="shared" si="2"/>
        <v>78.571428571428569</v>
      </c>
      <c r="I20" s="194"/>
      <c r="J20" s="195"/>
      <c r="K20" s="196"/>
    </row>
    <row r="21" spans="1:11" ht="21" customHeight="1" x14ac:dyDescent="0.3">
      <c r="A21" s="97">
        <v>13</v>
      </c>
      <c r="B21" s="92" t="str">
        <f>IF(훈련생명단!C18="","",훈련생명단!C18)</f>
        <v>이동욱</v>
      </c>
      <c r="C21" s="93" t="str">
        <f t="shared" si="0"/>
        <v>Pass</v>
      </c>
      <c r="D21" s="93">
        <f t="shared" si="1"/>
        <v>4</v>
      </c>
      <c r="E21" s="94"/>
      <c r="F21" s="94">
        <f>IF(B21="","",점수계산!D16)</f>
        <v>87.142857142857139</v>
      </c>
      <c r="G21" s="94">
        <f>IF(B21="","",점수계산!F16)</f>
        <v>0</v>
      </c>
      <c r="H21" s="94">
        <f t="shared" si="2"/>
        <v>87.142857142857139</v>
      </c>
      <c r="I21" s="194"/>
      <c r="J21" s="195"/>
      <c r="K21" s="196"/>
    </row>
    <row r="22" spans="1:11" ht="21" customHeight="1" x14ac:dyDescent="0.3">
      <c r="A22" s="96">
        <v>14</v>
      </c>
      <c r="B22" s="92" t="str">
        <f>IF(훈련생명단!C19="","",훈련생명단!C19)</f>
        <v>이은진</v>
      </c>
      <c r="C22" s="93" t="str">
        <f t="shared" si="0"/>
        <v>Pass</v>
      </c>
      <c r="D22" s="93">
        <f t="shared" si="1"/>
        <v>5</v>
      </c>
      <c r="E22" s="94"/>
      <c r="F22" s="94">
        <f>IF(B22="","",점수계산!D17)</f>
        <v>95.714285714285722</v>
      </c>
      <c r="G22" s="94">
        <f>IF(B22="","",점수계산!F17)</f>
        <v>0</v>
      </c>
      <c r="H22" s="94">
        <f t="shared" si="2"/>
        <v>95.714285714285722</v>
      </c>
      <c r="I22" s="194"/>
      <c r="J22" s="195"/>
      <c r="K22" s="196"/>
    </row>
    <row r="23" spans="1:11" ht="21" customHeight="1" x14ac:dyDescent="0.3">
      <c r="A23" s="96">
        <v>15</v>
      </c>
      <c r="B23" s="92" t="str">
        <f>IF(훈련생명단!C20="","",훈련생명단!C20)</f>
        <v>이혜민</v>
      </c>
      <c r="C23" s="93" t="str">
        <f t="shared" si="0"/>
        <v>Pass</v>
      </c>
      <c r="D23" s="93">
        <f t="shared" si="1"/>
        <v>5</v>
      </c>
      <c r="E23" s="94"/>
      <c r="F23" s="94">
        <f>IF(B23="","",점수계산!D18)</f>
        <v>91.428571428571431</v>
      </c>
      <c r="G23" s="94">
        <f>IF(B23="","",점수계산!F18)</f>
        <v>0</v>
      </c>
      <c r="H23" s="94">
        <f t="shared" si="2"/>
        <v>91.428571428571431</v>
      </c>
      <c r="I23" s="194"/>
      <c r="J23" s="195"/>
      <c r="K23" s="196"/>
    </row>
    <row r="24" spans="1:11" ht="21" customHeight="1" x14ac:dyDescent="0.3">
      <c r="A24" s="96">
        <v>16</v>
      </c>
      <c r="B24" s="92" t="str">
        <f>IF(훈련생명단!C21="","",훈련생명단!C21)</f>
        <v>정나현</v>
      </c>
      <c r="C24" s="93" t="str">
        <f t="shared" si="0"/>
        <v>Pass</v>
      </c>
      <c r="D24" s="93">
        <f t="shared" si="1"/>
        <v>3</v>
      </c>
      <c r="E24" s="94"/>
      <c r="F24" s="94">
        <f>IF(B24="","",점수계산!D19)</f>
        <v>78.571428571428569</v>
      </c>
      <c r="G24" s="94">
        <f>IF(B24="","",점수계산!F19)</f>
        <v>0</v>
      </c>
      <c r="H24" s="94">
        <f t="shared" si="2"/>
        <v>78.571428571428569</v>
      </c>
      <c r="I24" s="194"/>
      <c r="J24" s="195"/>
      <c r="K24" s="196"/>
    </row>
    <row r="25" spans="1:11" ht="21" customHeight="1" x14ac:dyDescent="0.3">
      <c r="A25" s="96">
        <v>17</v>
      </c>
      <c r="B25" s="92" t="str">
        <f>IF(훈련생명단!C22="","",훈련생명단!C22)</f>
        <v>조유진</v>
      </c>
      <c r="C25" s="93" t="str">
        <f t="shared" si="0"/>
        <v>Pass</v>
      </c>
      <c r="D25" s="93">
        <f t="shared" si="1"/>
        <v>3</v>
      </c>
      <c r="E25" s="94"/>
      <c r="F25" s="94">
        <f>IF(B25="","",점수계산!D20)</f>
        <v>78.571428571428569</v>
      </c>
      <c r="G25" s="94">
        <f>IF(B25="","",점수계산!F20)</f>
        <v>0</v>
      </c>
      <c r="H25" s="94">
        <f t="shared" si="2"/>
        <v>78.571428571428569</v>
      </c>
      <c r="I25" s="194"/>
      <c r="J25" s="195"/>
      <c r="K25" s="196"/>
    </row>
    <row r="26" spans="1:11" ht="21" customHeight="1" x14ac:dyDescent="0.3">
      <c r="A26" s="98">
        <v>18</v>
      </c>
      <c r="B26" s="92" t="str">
        <f>IF(훈련생명단!C23="","",훈련생명단!C23)</f>
        <v>하유정</v>
      </c>
      <c r="C26" s="93" t="str">
        <f t="shared" si="0"/>
        <v>Pass</v>
      </c>
      <c r="D26" s="93">
        <f t="shared" si="1"/>
        <v>4</v>
      </c>
      <c r="E26" s="94"/>
      <c r="F26" s="94">
        <f>IF(B26="","",점수계산!D21)</f>
        <v>87.142857142857139</v>
      </c>
      <c r="G26" s="94">
        <f>IF(B26="","",점수계산!F21)</f>
        <v>0</v>
      </c>
      <c r="H26" s="94">
        <f t="shared" si="2"/>
        <v>87.142857142857139</v>
      </c>
      <c r="I26" s="194"/>
      <c r="J26" s="195"/>
      <c r="K26" s="196"/>
    </row>
    <row r="27" spans="1:11" ht="21" customHeight="1" x14ac:dyDescent="0.3">
      <c r="A27" s="95">
        <v>19</v>
      </c>
      <c r="B27" s="92" t="str">
        <f>IF(훈련생명단!C24="","",훈련생명단!C24)</f>
        <v>황다영</v>
      </c>
      <c r="C27" s="93" t="str">
        <f t="shared" si="0"/>
        <v>Pass</v>
      </c>
      <c r="D27" s="93">
        <f t="shared" si="1"/>
        <v>4</v>
      </c>
      <c r="E27" s="94"/>
      <c r="F27" s="94">
        <f>IF(B27="","",점수계산!D22)</f>
        <v>87.142857142857139</v>
      </c>
      <c r="G27" s="94">
        <f>IF(B27="","",점수계산!F22)</f>
        <v>0</v>
      </c>
      <c r="H27" s="94">
        <f t="shared" si="2"/>
        <v>87.142857142857139</v>
      </c>
      <c r="I27" s="194"/>
      <c r="J27" s="195"/>
      <c r="K27" s="196"/>
    </row>
    <row r="28" spans="1:11" ht="21" customHeight="1" x14ac:dyDescent="0.3">
      <c r="A28" s="99">
        <v>20</v>
      </c>
      <c r="B28" s="92" t="str">
        <f>IF(훈련생명단!C25="","",훈련생명단!C25)</f>
        <v/>
      </c>
      <c r="C28" s="93" t="str">
        <f t="shared" si="0"/>
        <v/>
      </c>
      <c r="D28" s="93" t="str">
        <f t="shared" si="1"/>
        <v/>
      </c>
      <c r="E28" s="94"/>
      <c r="F28" s="94" t="str">
        <f>IF(B28="","",점수계산!D23)</f>
        <v/>
      </c>
      <c r="G28" s="94" t="str">
        <f>IF(B28="","",점수계산!F23)</f>
        <v/>
      </c>
      <c r="H28" s="94" t="str">
        <f t="shared" si="2"/>
        <v/>
      </c>
      <c r="I28" s="194"/>
      <c r="J28" s="195"/>
      <c r="K28" s="196"/>
    </row>
    <row r="29" spans="1:11" ht="21" customHeight="1" x14ac:dyDescent="0.3">
      <c r="A29" s="100">
        <v>21</v>
      </c>
      <c r="B29" s="92" t="str">
        <f>IF(훈련생명단!C26="","",훈련생명단!C26)</f>
        <v/>
      </c>
      <c r="C29" s="93" t="str">
        <f t="shared" ref="C29:C38" si="3">IF(H29="","",IF(H29&gt;=60,"Pass","Fail"))</f>
        <v/>
      </c>
      <c r="D29" s="93" t="str">
        <f t="shared" ref="D29:D38" si="4">IF(H29="","",IF(H29&gt;=90,5,IF(H29&gt;=80,4,IF(H29&gt;=70,3,IF(H29&gt;=60,2,1)))))</f>
        <v/>
      </c>
      <c r="E29" s="94"/>
      <c r="F29" s="94" t="str">
        <f>IF(B29="","",점수계산!D24)</f>
        <v/>
      </c>
      <c r="G29" s="94" t="str">
        <f>IF(B29="","",점수계산!F24)</f>
        <v/>
      </c>
      <c r="H29" s="94" t="str">
        <f t="shared" ref="H29:H38" si="5">IF(B29="","",IF(F29="",G29,F29+G29))</f>
        <v/>
      </c>
      <c r="I29" s="194"/>
      <c r="J29" s="195"/>
      <c r="K29" s="196"/>
    </row>
    <row r="30" spans="1:11" ht="21" customHeight="1" x14ac:dyDescent="0.3">
      <c r="A30" s="100">
        <v>22</v>
      </c>
      <c r="B30" s="92" t="str">
        <f>IF(훈련생명단!C27="","",훈련생명단!C27)</f>
        <v/>
      </c>
      <c r="C30" s="93" t="str">
        <f t="shared" si="3"/>
        <v/>
      </c>
      <c r="D30" s="93" t="str">
        <f t="shared" si="4"/>
        <v/>
      </c>
      <c r="E30" s="94"/>
      <c r="F30" s="94" t="str">
        <f>IF(B30="","",점수계산!D25)</f>
        <v/>
      </c>
      <c r="G30" s="94" t="str">
        <f>IF(B30="","",점수계산!F25)</f>
        <v/>
      </c>
      <c r="H30" s="94" t="str">
        <f t="shared" si="5"/>
        <v/>
      </c>
      <c r="I30" s="194"/>
      <c r="J30" s="195"/>
      <c r="K30" s="196"/>
    </row>
    <row r="31" spans="1:11" ht="21" customHeight="1" x14ac:dyDescent="0.3">
      <c r="A31" s="100">
        <v>23</v>
      </c>
      <c r="B31" s="92" t="str">
        <f>IF(훈련생명단!C28="","",훈련생명단!C28)</f>
        <v/>
      </c>
      <c r="C31" s="93" t="str">
        <f t="shared" si="3"/>
        <v/>
      </c>
      <c r="D31" s="93" t="str">
        <f t="shared" si="4"/>
        <v/>
      </c>
      <c r="E31" s="94"/>
      <c r="F31" s="94" t="str">
        <f>IF(B31="","",점수계산!D26)</f>
        <v/>
      </c>
      <c r="G31" s="94" t="str">
        <f>IF(B31="","",점수계산!F26)</f>
        <v/>
      </c>
      <c r="H31" s="94" t="str">
        <f t="shared" si="5"/>
        <v/>
      </c>
      <c r="I31" s="194"/>
      <c r="J31" s="195"/>
      <c r="K31" s="196"/>
    </row>
    <row r="32" spans="1:11" ht="21" customHeight="1" x14ac:dyDescent="0.3">
      <c r="A32" s="100">
        <v>24</v>
      </c>
      <c r="B32" s="92" t="str">
        <f>IF(훈련생명단!C29="","",훈련생명단!C29)</f>
        <v/>
      </c>
      <c r="C32" s="93" t="str">
        <f t="shared" si="3"/>
        <v/>
      </c>
      <c r="D32" s="93" t="str">
        <f t="shared" si="4"/>
        <v/>
      </c>
      <c r="E32" s="94"/>
      <c r="F32" s="94" t="str">
        <f>IF(B32="","",점수계산!D27)</f>
        <v/>
      </c>
      <c r="G32" s="94" t="str">
        <f>IF(B32="","",점수계산!F27)</f>
        <v/>
      </c>
      <c r="H32" s="94" t="str">
        <f t="shared" si="5"/>
        <v/>
      </c>
      <c r="I32" s="194"/>
      <c r="J32" s="195"/>
      <c r="K32" s="196"/>
    </row>
    <row r="33" spans="1:11" ht="21" customHeight="1" x14ac:dyDescent="0.3">
      <c r="A33" s="100">
        <v>25</v>
      </c>
      <c r="B33" s="92" t="str">
        <f>IF(훈련생명단!C30="","",훈련생명단!C30)</f>
        <v/>
      </c>
      <c r="C33" s="93" t="str">
        <f t="shared" si="3"/>
        <v/>
      </c>
      <c r="D33" s="93" t="str">
        <f t="shared" si="4"/>
        <v/>
      </c>
      <c r="E33" s="94"/>
      <c r="F33" s="94" t="str">
        <f>IF(B33="","",점수계산!D28)</f>
        <v/>
      </c>
      <c r="G33" s="94" t="str">
        <f>IF(B33="","",점수계산!F28)</f>
        <v/>
      </c>
      <c r="H33" s="94" t="str">
        <f t="shared" si="5"/>
        <v/>
      </c>
      <c r="I33" s="194"/>
      <c r="J33" s="195"/>
      <c r="K33" s="196"/>
    </row>
    <row r="34" spans="1:11" ht="21" customHeight="1" x14ac:dyDescent="0.3">
      <c r="A34" s="100">
        <v>26</v>
      </c>
      <c r="B34" s="92" t="str">
        <f>IF(훈련생명단!C31="","",훈련생명단!C31)</f>
        <v/>
      </c>
      <c r="C34" s="93" t="str">
        <f t="shared" si="3"/>
        <v/>
      </c>
      <c r="D34" s="93" t="str">
        <f t="shared" si="4"/>
        <v/>
      </c>
      <c r="E34" s="94"/>
      <c r="F34" s="94" t="str">
        <f>IF(B34="","",점수계산!D29)</f>
        <v/>
      </c>
      <c r="G34" s="94" t="str">
        <f>IF(B34="","",점수계산!F29)</f>
        <v/>
      </c>
      <c r="H34" s="94" t="str">
        <f t="shared" si="5"/>
        <v/>
      </c>
      <c r="I34" s="194"/>
      <c r="J34" s="195"/>
      <c r="K34" s="196"/>
    </row>
    <row r="35" spans="1:11" ht="21" customHeight="1" x14ac:dyDescent="0.3">
      <c r="A35" s="100">
        <v>27</v>
      </c>
      <c r="B35" s="92" t="str">
        <f>IF(훈련생명단!C32="","",훈련생명단!C32)</f>
        <v/>
      </c>
      <c r="C35" s="93" t="str">
        <f t="shared" si="3"/>
        <v/>
      </c>
      <c r="D35" s="93" t="str">
        <f t="shared" si="4"/>
        <v/>
      </c>
      <c r="E35" s="94"/>
      <c r="F35" s="94" t="str">
        <f>IF(B35="","",점수계산!D30)</f>
        <v/>
      </c>
      <c r="G35" s="94" t="str">
        <f>IF(B35="","",점수계산!F30)</f>
        <v/>
      </c>
      <c r="H35" s="94" t="str">
        <f t="shared" si="5"/>
        <v/>
      </c>
      <c r="I35" s="194"/>
      <c r="J35" s="195"/>
      <c r="K35" s="196"/>
    </row>
    <row r="36" spans="1:11" ht="21" customHeight="1" x14ac:dyDescent="0.3">
      <c r="A36" s="100">
        <v>28</v>
      </c>
      <c r="B36" s="92" t="str">
        <f>IF(훈련생명단!C33="","",훈련생명단!C33)</f>
        <v/>
      </c>
      <c r="C36" s="93" t="str">
        <f t="shared" si="3"/>
        <v/>
      </c>
      <c r="D36" s="93" t="str">
        <f t="shared" si="4"/>
        <v/>
      </c>
      <c r="E36" s="94"/>
      <c r="F36" s="94" t="str">
        <f>IF(B36="","",점수계산!D31)</f>
        <v/>
      </c>
      <c r="G36" s="94" t="str">
        <f>IF(B36="","",점수계산!F31)</f>
        <v/>
      </c>
      <c r="H36" s="94" t="str">
        <f t="shared" si="5"/>
        <v/>
      </c>
      <c r="I36" s="194"/>
      <c r="J36" s="195"/>
      <c r="K36" s="196"/>
    </row>
    <row r="37" spans="1:11" ht="21" customHeight="1" x14ac:dyDescent="0.3">
      <c r="A37" s="100">
        <v>29</v>
      </c>
      <c r="B37" s="92" t="str">
        <f>IF(훈련생명단!C34="","",훈련생명단!C34)</f>
        <v/>
      </c>
      <c r="C37" s="93" t="str">
        <f t="shared" si="3"/>
        <v/>
      </c>
      <c r="D37" s="93" t="str">
        <f t="shared" si="4"/>
        <v/>
      </c>
      <c r="E37" s="94"/>
      <c r="F37" s="94" t="str">
        <f>IF(B37="","",점수계산!D32)</f>
        <v/>
      </c>
      <c r="G37" s="94" t="str">
        <f>IF(B37="","",점수계산!F32)</f>
        <v/>
      </c>
      <c r="H37" s="94" t="str">
        <f t="shared" si="5"/>
        <v/>
      </c>
      <c r="I37" s="194"/>
      <c r="J37" s="195"/>
      <c r="K37" s="196"/>
    </row>
    <row r="38" spans="1:11" ht="21" customHeight="1" x14ac:dyDescent="0.3">
      <c r="A38" s="105">
        <v>30</v>
      </c>
      <c r="B38" s="106" t="str">
        <f>IF(훈련생명단!C35="","",훈련생명단!C35)</f>
        <v/>
      </c>
      <c r="C38" s="107" t="str">
        <f t="shared" si="3"/>
        <v/>
      </c>
      <c r="D38" s="107" t="str">
        <f t="shared" si="4"/>
        <v/>
      </c>
      <c r="E38" s="108"/>
      <c r="F38" s="108" t="str">
        <f>IF(B38="","",점수계산!D33)</f>
        <v/>
      </c>
      <c r="G38" s="108" t="str">
        <f>IF(B38="","",점수계산!F33)</f>
        <v/>
      </c>
      <c r="H38" s="108" t="str">
        <f t="shared" si="5"/>
        <v/>
      </c>
      <c r="I38" s="202"/>
      <c r="J38" s="203"/>
      <c r="K38" s="204"/>
    </row>
    <row r="39" spans="1:11" ht="21" customHeight="1" x14ac:dyDescent="0.3">
      <c r="A39" s="197" t="s">
        <v>41</v>
      </c>
      <c r="B39" s="198"/>
      <c r="C39" s="41">
        <f ca="1">점수계산!B34</f>
        <v>19</v>
      </c>
      <c r="D39" s="42"/>
      <c r="E39" s="43"/>
      <c r="F39" s="44" t="s">
        <v>42</v>
      </c>
      <c r="G39" s="45">
        <f>SUM(H9:H28)</f>
        <v>1642.8571428571431</v>
      </c>
      <c r="H39" s="199" t="s">
        <v>43</v>
      </c>
      <c r="I39" s="200"/>
      <c r="J39" s="201">
        <f ca="1">G39/C39</f>
        <v>86.466165413533844</v>
      </c>
      <c r="K39" s="201"/>
    </row>
    <row r="40" spans="1:11" ht="21" customHeight="1" x14ac:dyDescent="0.3">
      <c r="A40" s="183" t="s">
        <v>44</v>
      </c>
      <c r="B40" s="186" t="s">
        <v>45</v>
      </c>
      <c r="C40" s="186"/>
      <c r="D40" s="186"/>
      <c r="E40" s="186"/>
      <c r="F40" s="186"/>
      <c r="G40" s="186"/>
      <c r="H40" s="186"/>
      <c r="I40" s="187"/>
      <c r="J40" s="188"/>
      <c r="K40" s="188"/>
    </row>
    <row r="41" spans="1:11" ht="21" customHeight="1" x14ac:dyDescent="0.3">
      <c r="A41" s="184"/>
      <c r="B41" s="190"/>
      <c r="C41" s="190"/>
      <c r="D41" s="190"/>
      <c r="E41" s="190"/>
      <c r="F41" s="190"/>
      <c r="G41" s="190"/>
      <c r="H41" s="190"/>
      <c r="I41" s="191"/>
      <c r="J41" s="188"/>
      <c r="K41" s="188"/>
    </row>
    <row r="42" spans="1:11" ht="21" customHeight="1" x14ac:dyDescent="0.3">
      <c r="A42" s="184"/>
      <c r="B42" s="190"/>
      <c r="C42" s="190"/>
      <c r="D42" s="190"/>
      <c r="E42" s="190"/>
      <c r="F42" s="190"/>
      <c r="G42" s="190"/>
      <c r="H42" s="190"/>
      <c r="I42" s="191"/>
      <c r="J42" s="188"/>
      <c r="K42" s="188"/>
    </row>
    <row r="43" spans="1:11" ht="21" customHeight="1" x14ac:dyDescent="0.3">
      <c r="A43" s="185"/>
      <c r="B43" s="192"/>
      <c r="C43" s="192"/>
      <c r="D43" s="192"/>
      <c r="E43" s="192"/>
      <c r="F43" s="192"/>
      <c r="G43" s="192"/>
      <c r="H43" s="192"/>
      <c r="I43" s="193"/>
      <c r="J43" s="189"/>
      <c r="K43" s="189"/>
    </row>
    <row r="80" spans="1:4" x14ac:dyDescent="0.3">
      <c r="A80" s="182" t="str">
        <f>VLOOKUP($L$2,'기초데이타(작성필히)'!$A$5:$P$19,9)</f>
        <v>[0803020911_18v3]  스마트문화앱UX설계</v>
      </c>
      <c r="B80" s="182"/>
      <c r="C80" s="182"/>
      <c r="D80" s="182"/>
    </row>
    <row r="81" spans="1:4" x14ac:dyDescent="0.3">
      <c r="A81" s="26" t="s">
        <v>30</v>
      </c>
      <c r="B81" s="27" t="s">
        <v>31</v>
      </c>
      <c r="C81" s="27" t="s">
        <v>32</v>
      </c>
      <c r="D81" s="28" t="s">
        <v>33</v>
      </c>
    </row>
    <row r="82" spans="1:4" x14ac:dyDescent="0.3">
      <c r="A82" s="29">
        <v>1</v>
      </c>
      <c r="B82" s="30" t="s">
        <v>34</v>
      </c>
      <c r="C82" s="31">
        <f>COUNTIF($H$9:$H$38,"&gt;=" &amp; 90)</f>
        <v>6</v>
      </c>
      <c r="D82" s="32">
        <f>C82/$AH$16</f>
        <v>0.31578947368421051</v>
      </c>
    </row>
    <row r="83" spans="1:4" x14ac:dyDescent="0.3">
      <c r="A83" s="33">
        <v>2</v>
      </c>
      <c r="B83" s="34" t="s">
        <v>35</v>
      </c>
      <c r="C83" s="35">
        <f>COUNTIF($H$9:$H$38,"&gt;=" &amp; 80)-C82</f>
        <v>10</v>
      </c>
      <c r="D83" s="36">
        <f>C83/$AH$16</f>
        <v>0.52631578947368418</v>
      </c>
    </row>
    <row r="84" spans="1:4" x14ac:dyDescent="0.3">
      <c r="A84" s="33">
        <v>3</v>
      </c>
      <c r="B84" s="34" t="s">
        <v>36</v>
      </c>
      <c r="C84" s="35">
        <f>COUNTIF($H$9:$H$38,"&gt;=" &amp; 70)-C82-C83</f>
        <v>3</v>
      </c>
      <c r="D84" s="36">
        <f>C84/$AH$16</f>
        <v>0.15789473684210525</v>
      </c>
    </row>
    <row r="85" spans="1:4" x14ac:dyDescent="0.3">
      <c r="A85" s="33">
        <v>4</v>
      </c>
      <c r="B85" s="34" t="s">
        <v>37</v>
      </c>
      <c r="C85" s="35">
        <f>COUNTIF($H$9:$H$38,"&gt;=" &amp; 60)-C82-C83-C84</f>
        <v>0</v>
      </c>
      <c r="D85" s="36">
        <f>C85/$AH$16</f>
        <v>0</v>
      </c>
    </row>
    <row r="86" spans="1:4" x14ac:dyDescent="0.3">
      <c r="A86" s="33">
        <v>5</v>
      </c>
      <c r="B86" s="34" t="s">
        <v>38</v>
      </c>
      <c r="C86" s="35">
        <f>COUNTIF($H$9:$H$38,"&gt;=" &amp; 0)-C82-C83-C84-C85</f>
        <v>0</v>
      </c>
      <c r="D86" s="36">
        <f>C86/$AH$16</f>
        <v>0</v>
      </c>
    </row>
    <row r="87" spans="1:4" x14ac:dyDescent="0.3">
      <c r="A87" s="37" t="s">
        <v>39</v>
      </c>
      <c r="B87" s="38"/>
      <c r="C87" s="39">
        <f>SUM(C82:C86)</f>
        <v>19</v>
      </c>
      <c r="D87" s="40" t="s">
        <v>40</v>
      </c>
    </row>
  </sheetData>
  <mergeCells count="57">
    <mergeCell ref="A1:K1"/>
    <mergeCell ref="D2:F2"/>
    <mergeCell ref="H2:I2"/>
    <mergeCell ref="A3:B3"/>
    <mergeCell ref="C3:F3"/>
    <mergeCell ref="H3:I3"/>
    <mergeCell ref="I13:K13"/>
    <mergeCell ref="A4:B4"/>
    <mergeCell ref="C4:F4"/>
    <mergeCell ref="H4:J4"/>
    <mergeCell ref="A5:K5"/>
    <mergeCell ref="A6:A8"/>
    <mergeCell ref="B6:B8"/>
    <mergeCell ref="C6:D6"/>
    <mergeCell ref="E6:H6"/>
    <mergeCell ref="I6:K8"/>
    <mergeCell ref="C7:D8"/>
    <mergeCell ref="I9:K9"/>
    <mergeCell ref="AF9:AI9"/>
    <mergeCell ref="I10:K10"/>
    <mergeCell ref="I11:K11"/>
    <mergeCell ref="I12:K12"/>
    <mergeCell ref="I25:K25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  <mergeCell ref="I23:K23"/>
    <mergeCell ref="I24:K24"/>
    <mergeCell ref="I26:K26"/>
    <mergeCell ref="I27:K27"/>
    <mergeCell ref="I28:K28"/>
    <mergeCell ref="A39:B39"/>
    <mergeCell ref="H39:I39"/>
    <mergeCell ref="J39:K39"/>
    <mergeCell ref="I29:K29"/>
    <mergeCell ref="I30:K30"/>
    <mergeCell ref="I31:K31"/>
    <mergeCell ref="I32:K32"/>
    <mergeCell ref="I33:K33"/>
    <mergeCell ref="I34:K34"/>
    <mergeCell ref="I35:K35"/>
    <mergeCell ref="I36:K36"/>
    <mergeCell ref="I37:K37"/>
    <mergeCell ref="I38:K38"/>
    <mergeCell ref="A80:D80"/>
    <mergeCell ref="A40:A43"/>
    <mergeCell ref="B40:I40"/>
    <mergeCell ref="J40:K43"/>
    <mergeCell ref="B41:I41"/>
    <mergeCell ref="B42:I42"/>
    <mergeCell ref="B43:I43"/>
  </mergeCells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4" fitToHeight="0" orientation="portrait" horizontalDpi="4294967293" verticalDpi="4294967293" r:id="rId1"/>
  <rowBreaks count="2" manualBreakCount="2">
    <brk id="28" max="10" man="1"/>
    <brk id="43" max="10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Q486"/>
  <sheetViews>
    <sheetView view="pageBreakPreview" zoomScale="80" zoomScaleNormal="100" zoomScaleSheetLayoutView="80" workbookViewId="0">
      <selection activeCell="Q3" sqref="Q3"/>
    </sheetView>
  </sheetViews>
  <sheetFormatPr defaultRowHeight="16.5" x14ac:dyDescent="0.3"/>
  <cols>
    <col min="1" max="1" width="5.625" style="8" customWidth="1"/>
    <col min="2" max="2" width="7.625" style="8" customWidth="1"/>
    <col min="3" max="3" width="11.625" style="8" customWidth="1"/>
    <col min="4" max="4" width="2.625" style="8" customWidth="1"/>
    <col min="5" max="6" width="5.625" style="8" customWidth="1"/>
    <col min="7" max="7" width="4.625" style="8" customWidth="1"/>
    <col min="8" max="8" width="5.625" style="8" customWidth="1"/>
    <col min="9" max="9" width="13.625" style="8" customWidth="1"/>
    <col min="10" max="10" width="7.625" style="8" customWidth="1"/>
    <col min="11" max="11" width="3.625" style="8" customWidth="1"/>
    <col min="12" max="13" width="6.625" style="8" customWidth="1"/>
    <col min="14" max="15" width="5.125" style="8" customWidth="1"/>
    <col min="16" max="16" width="6.625" style="8" customWidth="1"/>
    <col min="17" max="16384" width="9" style="8"/>
  </cols>
  <sheetData>
    <row r="1" spans="1:17" ht="3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7" ht="20.100000000000001" customHeight="1" x14ac:dyDescent="0.3">
      <c r="A2" s="293" t="str">
        <f>MID(VLOOKUP('전체 훈련생 평가 채점표'!L2,'기초데이타(작성필히)'!$A$5:$P$19,9),18,50)&amp;" "&amp;"평가 결과 보고서"</f>
        <v xml:space="preserve">  스마트문화앱UX설계 평가 결과 보고서</v>
      </c>
      <c r="B2" s="293"/>
      <c r="C2" s="293"/>
      <c r="D2" s="293"/>
      <c r="E2" s="293"/>
      <c r="F2" s="293"/>
      <c r="G2" s="293"/>
      <c r="H2" s="293"/>
      <c r="I2" s="293"/>
      <c r="J2" s="109"/>
      <c r="K2" s="109"/>
      <c r="L2" s="109"/>
      <c r="M2" s="109"/>
      <c r="N2" s="109"/>
      <c r="O2" s="109"/>
      <c r="P2" s="109"/>
      <c r="Q2" s="47"/>
    </row>
    <row r="3" spans="1:17" ht="20.100000000000001" customHeight="1" x14ac:dyDescent="0.3">
      <c r="A3" s="293"/>
      <c r="B3" s="293"/>
      <c r="C3" s="293"/>
      <c r="D3" s="293"/>
      <c r="E3" s="293"/>
      <c r="F3" s="293"/>
      <c r="G3" s="293"/>
      <c r="H3" s="293"/>
      <c r="I3" s="293"/>
      <c r="J3" s="109"/>
      <c r="K3" s="109"/>
      <c r="L3" s="109"/>
      <c r="M3" s="109"/>
      <c r="N3" s="109"/>
      <c r="O3" s="109"/>
      <c r="P3" s="109"/>
      <c r="Q3" s="47"/>
    </row>
    <row r="4" spans="1:17" ht="20.100000000000001" customHeight="1" x14ac:dyDescent="0.3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47"/>
    </row>
    <row r="5" spans="1:17" ht="20.100000000000001" customHeight="1" x14ac:dyDescent="0.3">
      <c r="A5" s="109"/>
      <c r="B5" s="109"/>
      <c r="C5" s="109"/>
      <c r="D5" s="109"/>
      <c r="E5" s="109"/>
      <c r="F5" s="109" t="s">
        <v>46</v>
      </c>
      <c r="G5" s="294">
        <f>VLOOKUP('전체 훈련생 평가 채점표'!L2,'기초데이타(작성필히)'!$A$5:$P$19,13)</f>
        <v>44524</v>
      </c>
      <c r="H5" s="294"/>
      <c r="I5" s="294"/>
      <c r="J5" s="109"/>
      <c r="K5" s="109"/>
      <c r="L5" s="109"/>
      <c r="M5" s="109"/>
      <c r="N5" s="109"/>
      <c r="O5" s="109"/>
      <c r="P5" s="109"/>
      <c r="Q5" s="47"/>
    </row>
    <row r="6" spans="1:17" ht="3" customHeight="1" x14ac:dyDescent="0.3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47"/>
    </row>
    <row r="7" spans="1:17" ht="20.100000000000001" customHeight="1" thickBot="1" x14ac:dyDescent="0.35">
      <c r="A7" s="242" t="s">
        <v>47</v>
      </c>
      <c r="B7" s="243"/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47"/>
    </row>
    <row r="8" spans="1:17" ht="5.0999999999999996" customHeight="1" x14ac:dyDescent="0.3">
      <c r="A8" s="239"/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47"/>
    </row>
    <row r="9" spans="1:17" ht="20.100000000000001" customHeight="1" x14ac:dyDescent="0.3">
      <c r="A9" s="295" t="s">
        <v>48</v>
      </c>
      <c r="B9" s="286" t="s">
        <v>49</v>
      </c>
      <c r="C9" s="286"/>
      <c r="D9" s="286"/>
      <c r="E9" s="286"/>
      <c r="F9" s="296" t="str">
        <f>VLOOKUP('전체 훈련생 평가 채점표'!L2,'기초데이타(작성필히)'!$A$5:$P$19,2)</f>
        <v>실업자(국기)</v>
      </c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47"/>
    </row>
    <row r="10" spans="1:17" ht="20.100000000000001" customHeight="1" x14ac:dyDescent="0.3">
      <c r="A10" s="280"/>
      <c r="B10" s="281" t="s">
        <v>50</v>
      </c>
      <c r="C10" s="281"/>
      <c r="D10" s="281"/>
      <c r="E10" s="281"/>
      <c r="F10" s="282" t="str">
        <f>VLOOKUP('전체 훈련생 평가 채점표'!L2,'기초데이타(작성필히)'!$A$5:$P$19,4)</f>
        <v>[디지털디자인]반응형 웹디자인(UIUX) &amp; 웹퍼블리셔 디지털 실무 양성과정 A-5</v>
      </c>
      <c r="G10" s="282"/>
      <c r="H10" s="282"/>
      <c r="I10" s="282"/>
      <c r="J10" s="282"/>
      <c r="K10" s="282"/>
      <c r="L10" s="282"/>
      <c r="M10" s="282"/>
      <c r="N10" s="282"/>
      <c r="O10" s="282"/>
      <c r="P10" s="283"/>
      <c r="Q10" s="47"/>
    </row>
    <row r="11" spans="1:17" ht="20.100000000000001" customHeight="1" x14ac:dyDescent="0.3">
      <c r="A11" s="280"/>
      <c r="B11" s="281" t="s">
        <v>51</v>
      </c>
      <c r="C11" s="281"/>
      <c r="D11" s="281"/>
      <c r="E11" s="281"/>
      <c r="F11" s="282" t="str">
        <f>VLOOKUP('전체 훈련생 평가 채점표'!L2,'기초데이타(작성필히)'!$A$5:$P$19,8)</f>
        <v>[08030209]스마트문화앱콘텐츠제작</v>
      </c>
      <c r="G11" s="282"/>
      <c r="H11" s="282"/>
      <c r="I11" s="282"/>
      <c r="J11" s="282"/>
      <c r="K11" s="282"/>
      <c r="L11" s="282"/>
      <c r="M11" s="282"/>
      <c r="N11" s="282"/>
      <c r="O11" s="282"/>
      <c r="P11" s="283"/>
      <c r="Q11" s="47"/>
    </row>
    <row r="12" spans="1:17" ht="20.100000000000001" customHeight="1" x14ac:dyDescent="0.3">
      <c r="A12" s="280"/>
      <c r="B12" s="281" t="s">
        <v>18</v>
      </c>
      <c r="C12" s="281"/>
      <c r="D12" s="281"/>
      <c r="E12" s="281"/>
      <c r="F12" s="282" t="str">
        <f>VLOOKUP('전체 훈련생 평가 채점표'!L2,'기초데이타(작성필히)'!$A$5:$P$19,5)</f>
        <v>21.08.31 ~ 22.02.07</v>
      </c>
      <c r="G12" s="282"/>
      <c r="H12" s="282"/>
      <c r="I12" s="282"/>
      <c r="J12" s="282"/>
      <c r="K12" s="282"/>
      <c r="L12" s="282"/>
      <c r="M12" s="282"/>
      <c r="N12" s="282"/>
      <c r="O12" s="282"/>
      <c r="P12" s="283"/>
      <c r="Q12" s="47"/>
    </row>
    <row r="13" spans="1:17" ht="20.100000000000001" customHeight="1" x14ac:dyDescent="0.3">
      <c r="A13" s="298" t="s">
        <v>52</v>
      </c>
      <c r="B13" s="281" t="s">
        <v>23</v>
      </c>
      <c r="C13" s="281"/>
      <c r="D13" s="281"/>
      <c r="E13" s="281"/>
      <c r="F13" s="282" t="str">
        <f>VLOOKUP('전체 훈련생 평가 채점표'!L2,'기초데이타(작성필히)'!$A$5:$P$19,9)</f>
        <v>[0803020911_18v3]  스마트문화앱UX설계</v>
      </c>
      <c r="G13" s="282"/>
      <c r="H13" s="282"/>
      <c r="I13" s="282"/>
      <c r="J13" s="282"/>
      <c r="K13" s="282"/>
      <c r="L13" s="282"/>
      <c r="M13" s="282"/>
      <c r="N13" s="282"/>
      <c r="O13" s="282"/>
      <c r="P13" s="283"/>
      <c r="Q13" s="47"/>
    </row>
    <row r="14" spans="1:17" ht="20.100000000000001" customHeight="1" x14ac:dyDescent="0.3">
      <c r="A14" s="298"/>
      <c r="B14" s="281" t="s">
        <v>53</v>
      </c>
      <c r="C14" s="281"/>
      <c r="D14" s="281"/>
      <c r="E14" s="281"/>
      <c r="F14" s="282">
        <f>VLOOKUP('전체 훈련생 평가 채점표'!L2,'기초데이타(작성필히)'!$A$5:$P$19,11)</f>
        <v>70</v>
      </c>
      <c r="G14" s="282"/>
      <c r="H14" s="282"/>
      <c r="I14" s="282"/>
      <c r="J14" s="282"/>
      <c r="K14" s="282"/>
      <c r="L14" s="282"/>
      <c r="M14" s="282"/>
      <c r="N14" s="282"/>
      <c r="O14" s="282"/>
      <c r="P14" s="283"/>
      <c r="Q14" s="47"/>
    </row>
    <row r="15" spans="1:17" ht="20.100000000000001" customHeight="1" x14ac:dyDescent="0.3">
      <c r="A15" s="298"/>
      <c r="B15" s="281" t="s">
        <v>24</v>
      </c>
      <c r="C15" s="281"/>
      <c r="D15" s="281"/>
      <c r="E15" s="281"/>
      <c r="F15" s="282" t="str">
        <f>VLOOKUP('전체 훈련생 평가 채점표'!L2,'기초데이타(작성필히)'!$A$5:$P$19,12)</f>
        <v>이창훈</v>
      </c>
      <c r="G15" s="282"/>
      <c r="H15" s="282"/>
      <c r="I15" s="282"/>
      <c r="J15" s="282"/>
      <c r="K15" s="282"/>
      <c r="L15" s="282"/>
      <c r="M15" s="282"/>
      <c r="N15" s="282"/>
      <c r="O15" s="282"/>
      <c r="P15" s="283"/>
      <c r="Q15" s="47"/>
    </row>
    <row r="16" spans="1:17" ht="20.100000000000001" customHeight="1" x14ac:dyDescent="0.3">
      <c r="A16" s="298"/>
      <c r="B16" s="281" t="s">
        <v>54</v>
      </c>
      <c r="C16" s="281"/>
      <c r="D16" s="281"/>
      <c r="E16" s="281"/>
      <c r="F16" s="282">
        <f>VLOOKUP('전체 훈련생 평가 채점표'!L2,'기초데이타(작성필히)'!$A$5:$P$19,14)</f>
        <v>0</v>
      </c>
      <c r="G16" s="282"/>
      <c r="H16" s="282"/>
      <c r="I16" s="282"/>
      <c r="J16" s="282"/>
      <c r="K16" s="282"/>
      <c r="L16" s="282"/>
      <c r="M16" s="282"/>
      <c r="N16" s="282"/>
      <c r="O16" s="282"/>
      <c r="P16" s="283"/>
      <c r="Q16" s="47"/>
    </row>
    <row r="17" spans="1:17" ht="20.100000000000001" customHeight="1" x14ac:dyDescent="0.3">
      <c r="A17" s="298"/>
      <c r="B17" s="281" t="s">
        <v>55</v>
      </c>
      <c r="C17" s="281"/>
      <c r="D17" s="281"/>
      <c r="E17" s="281"/>
      <c r="F17" s="282" t="str">
        <f>VLOOKUP('전체 훈련생 평가 채점표'!L2,'기초데이타(작성필히)'!$A$5:$P$19,15)</f>
        <v>포트폴리오</v>
      </c>
      <c r="G17" s="282"/>
      <c r="H17" s="282"/>
      <c r="I17" s="282"/>
      <c r="J17" s="282"/>
      <c r="K17" s="282"/>
      <c r="L17" s="282"/>
      <c r="M17" s="282"/>
      <c r="N17" s="282"/>
      <c r="O17" s="282"/>
      <c r="P17" s="283"/>
      <c r="Q17" s="47"/>
    </row>
    <row r="18" spans="1:17" ht="20.100000000000001" customHeight="1" x14ac:dyDescent="0.3">
      <c r="A18" s="299"/>
      <c r="B18" s="275" t="s">
        <v>56</v>
      </c>
      <c r="C18" s="275"/>
      <c r="D18" s="275"/>
      <c r="E18" s="275"/>
      <c r="F18" s="291">
        <f>VLOOKUP('전체 훈련생 평가 채점표'!L2,'기초데이타(작성필히)'!$A$5:$P$19,13)</f>
        <v>44524</v>
      </c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47"/>
    </row>
    <row r="19" spans="1:17" ht="20.100000000000001" customHeight="1" x14ac:dyDescent="0.3">
      <c r="A19" s="239"/>
      <c r="B19" s="239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47"/>
    </row>
    <row r="20" spans="1:17" ht="20.100000000000001" customHeight="1" thickBot="1" x14ac:dyDescent="0.35">
      <c r="A20" s="242" t="s">
        <v>57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47"/>
    </row>
    <row r="21" spans="1:17" ht="5.0999999999999996" customHeight="1" x14ac:dyDescent="0.3">
      <c r="A21" s="284"/>
      <c r="B21" s="284"/>
      <c r="C21" s="284"/>
      <c r="D21" s="284"/>
      <c r="E21" s="284"/>
      <c r="F21" s="284"/>
      <c r="G21" s="284"/>
      <c r="H21" s="284"/>
      <c r="I21" s="284"/>
      <c r="J21" s="284"/>
      <c r="K21" s="284"/>
      <c r="L21" s="284"/>
      <c r="M21" s="284"/>
      <c r="N21" s="284"/>
      <c r="O21" s="284"/>
      <c r="P21" s="284"/>
      <c r="Q21" s="47"/>
    </row>
    <row r="22" spans="1:17" ht="20.100000000000001" customHeight="1" x14ac:dyDescent="0.3">
      <c r="A22" s="285" t="s">
        <v>58</v>
      </c>
      <c r="B22" s="286"/>
      <c r="C22" s="286"/>
      <c r="D22" s="286"/>
      <c r="E22" s="286"/>
      <c r="F22" s="286"/>
      <c r="G22" s="286"/>
      <c r="H22" s="286"/>
      <c r="I22" s="286" t="s">
        <v>59</v>
      </c>
      <c r="J22" s="286"/>
      <c r="K22" s="286"/>
      <c r="L22" s="286"/>
      <c r="M22" s="286"/>
      <c r="N22" s="286"/>
      <c r="O22" s="286"/>
      <c r="P22" s="287" t="s">
        <v>11</v>
      </c>
      <c r="Q22" s="47"/>
    </row>
    <row r="23" spans="1:17" ht="20.100000000000001" customHeight="1" x14ac:dyDescent="0.3">
      <c r="A23" s="280" t="s">
        <v>60</v>
      </c>
      <c r="B23" s="281"/>
      <c r="C23" s="281"/>
      <c r="D23" s="281" t="s">
        <v>61</v>
      </c>
      <c r="E23" s="281"/>
      <c r="F23" s="281"/>
      <c r="G23" s="281" t="s">
        <v>2</v>
      </c>
      <c r="H23" s="281"/>
      <c r="I23" s="281" t="s">
        <v>60</v>
      </c>
      <c r="J23" s="281"/>
      <c r="K23" s="281"/>
      <c r="L23" s="281" t="s">
        <v>61</v>
      </c>
      <c r="M23" s="281"/>
      <c r="N23" s="281" t="s">
        <v>2</v>
      </c>
      <c r="O23" s="281"/>
      <c r="P23" s="290"/>
      <c r="Q23" s="47"/>
    </row>
    <row r="24" spans="1:17" ht="20.100000000000001" customHeight="1" x14ac:dyDescent="0.3">
      <c r="A24" s="288" t="s">
        <v>109</v>
      </c>
      <c r="B24" s="288"/>
      <c r="C24" s="289"/>
      <c r="D24" s="278" t="s">
        <v>24</v>
      </c>
      <c r="E24" s="288"/>
      <c r="F24" s="289"/>
      <c r="G24" s="277" t="str">
        <f>F15</f>
        <v>이창훈</v>
      </c>
      <c r="H24" s="277"/>
      <c r="I24" s="278" t="s">
        <v>109</v>
      </c>
      <c r="J24" s="288"/>
      <c r="K24" s="289"/>
      <c r="L24" s="278" t="s">
        <v>24</v>
      </c>
      <c r="M24" s="289"/>
      <c r="N24" s="277" t="str">
        <f>F15</f>
        <v>이창훈</v>
      </c>
      <c r="O24" s="277"/>
      <c r="P24" s="111"/>
      <c r="Q24" s="47"/>
    </row>
    <row r="25" spans="1:17" ht="20.100000000000001" customHeight="1" x14ac:dyDescent="0.3">
      <c r="A25" s="279"/>
      <c r="B25" s="279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79"/>
      <c r="N25" s="279"/>
      <c r="O25" s="279"/>
      <c r="P25" s="279"/>
      <c r="Q25" s="47"/>
    </row>
    <row r="26" spans="1:17" ht="20.100000000000001" customHeight="1" thickBot="1" x14ac:dyDescent="0.35">
      <c r="A26" s="242" t="s">
        <v>62</v>
      </c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47"/>
    </row>
    <row r="27" spans="1:17" ht="5.0999999999999996" customHeight="1" x14ac:dyDescent="0.3">
      <c r="A27" s="284"/>
      <c r="B27" s="284"/>
      <c r="C27" s="284"/>
      <c r="D27" s="284"/>
      <c r="E27" s="284"/>
      <c r="F27" s="284"/>
      <c r="G27" s="284"/>
      <c r="H27" s="284"/>
      <c r="I27" s="284"/>
      <c r="J27" s="284"/>
      <c r="K27" s="284"/>
      <c r="L27" s="284"/>
      <c r="M27" s="284"/>
      <c r="N27" s="284"/>
      <c r="O27" s="284"/>
      <c r="P27" s="284"/>
      <c r="Q27" s="47"/>
    </row>
    <row r="28" spans="1:17" ht="20.100000000000001" customHeight="1" x14ac:dyDescent="0.3">
      <c r="A28" s="285" t="s">
        <v>63</v>
      </c>
      <c r="B28" s="286"/>
      <c r="C28" s="286"/>
      <c r="D28" s="286" t="s">
        <v>32</v>
      </c>
      <c r="E28" s="286"/>
      <c r="F28" s="286"/>
      <c r="G28" s="286"/>
      <c r="H28" s="286" t="s">
        <v>64</v>
      </c>
      <c r="I28" s="286"/>
      <c r="J28" s="286"/>
      <c r="K28" s="286"/>
      <c r="L28" s="286"/>
      <c r="M28" s="286"/>
      <c r="N28" s="286"/>
      <c r="O28" s="286"/>
      <c r="P28" s="287"/>
      <c r="Q28" s="47"/>
    </row>
    <row r="29" spans="1:17" ht="20.100000000000001" customHeight="1" x14ac:dyDescent="0.3">
      <c r="A29" s="280" t="s">
        <v>65</v>
      </c>
      <c r="B29" s="281"/>
      <c r="C29" s="281"/>
      <c r="D29" s="282">
        <f ca="1">점수계산!B34</f>
        <v>19</v>
      </c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3"/>
      <c r="Q29" s="47"/>
    </row>
    <row r="30" spans="1:17" ht="20.100000000000001" customHeight="1" x14ac:dyDescent="0.3">
      <c r="A30" s="280" t="s">
        <v>66</v>
      </c>
      <c r="B30" s="281"/>
      <c r="C30" s="281"/>
      <c r="D30" s="276">
        <v>0</v>
      </c>
      <c r="E30" s="276"/>
      <c r="F30" s="276"/>
      <c r="G30" s="276"/>
      <c r="H30" s="282"/>
      <c r="I30" s="282"/>
      <c r="J30" s="282"/>
      <c r="K30" s="282"/>
      <c r="L30" s="282"/>
      <c r="M30" s="282"/>
      <c r="N30" s="282"/>
      <c r="O30" s="282"/>
      <c r="P30" s="283"/>
      <c r="Q30" s="47"/>
    </row>
    <row r="31" spans="1:17" ht="20.100000000000001" customHeight="1" x14ac:dyDescent="0.3">
      <c r="A31" s="280" t="s">
        <v>67</v>
      </c>
      <c r="B31" s="281"/>
      <c r="C31" s="281"/>
      <c r="D31" s="282">
        <f ca="1">D29-D30</f>
        <v>19</v>
      </c>
      <c r="E31" s="282"/>
      <c r="F31" s="282"/>
      <c r="G31" s="282"/>
      <c r="H31" s="282"/>
      <c r="I31" s="282"/>
      <c r="J31" s="282"/>
      <c r="K31" s="282"/>
      <c r="L31" s="282"/>
      <c r="M31" s="282"/>
      <c r="N31" s="282"/>
      <c r="O31" s="282"/>
      <c r="P31" s="283"/>
      <c r="Q31" s="47"/>
    </row>
    <row r="32" spans="1:17" ht="20.100000000000001" customHeight="1" x14ac:dyDescent="0.3">
      <c r="A32" s="280" t="s">
        <v>68</v>
      </c>
      <c r="B32" s="281"/>
      <c r="C32" s="281"/>
      <c r="D32" s="282">
        <f ca="1">D31-D33</f>
        <v>19</v>
      </c>
      <c r="E32" s="282"/>
      <c r="F32" s="282"/>
      <c r="G32" s="282"/>
      <c r="H32" s="282"/>
      <c r="I32" s="282"/>
      <c r="J32" s="282"/>
      <c r="K32" s="282"/>
      <c r="L32" s="282"/>
      <c r="M32" s="282"/>
      <c r="N32" s="282"/>
      <c r="O32" s="282"/>
      <c r="P32" s="283"/>
      <c r="Q32" s="47"/>
    </row>
    <row r="33" spans="1:17" ht="20.100000000000001" customHeight="1" x14ac:dyDescent="0.3">
      <c r="A33" s="274" t="s">
        <v>69</v>
      </c>
      <c r="B33" s="275"/>
      <c r="C33" s="275"/>
      <c r="D33" s="276">
        <v>0</v>
      </c>
      <c r="E33" s="276"/>
      <c r="F33" s="276"/>
      <c r="G33" s="276"/>
      <c r="H33" s="277"/>
      <c r="I33" s="277"/>
      <c r="J33" s="277"/>
      <c r="K33" s="277"/>
      <c r="L33" s="277"/>
      <c r="M33" s="277"/>
      <c r="N33" s="277"/>
      <c r="O33" s="277"/>
      <c r="P33" s="278"/>
      <c r="Q33" s="47"/>
    </row>
    <row r="34" spans="1:17" ht="20.100000000000001" customHeight="1" x14ac:dyDescent="0.3">
      <c r="A34" s="279"/>
      <c r="B34" s="279"/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279"/>
      <c r="Q34" s="47"/>
    </row>
    <row r="35" spans="1:17" ht="20.100000000000001" customHeight="1" thickBot="1" x14ac:dyDescent="0.35">
      <c r="A35" s="242" t="s">
        <v>70</v>
      </c>
      <c r="B35" s="243"/>
      <c r="C35" s="243"/>
      <c r="D35" s="243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47"/>
    </row>
    <row r="36" spans="1:17" ht="5.0999999999999996" customHeight="1" x14ac:dyDescent="0.3">
      <c r="A36" s="239"/>
      <c r="B36" s="239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47"/>
    </row>
    <row r="37" spans="1:17" ht="18" customHeight="1" x14ac:dyDescent="0.3">
      <c r="A37" s="258" t="s">
        <v>71</v>
      </c>
      <c r="B37" s="240"/>
      <c r="C37" s="240"/>
      <c r="D37" s="259">
        <f ca="1">점수계산!G34/점수계산!B34</f>
        <v>86.466165413533844</v>
      </c>
      <c r="E37" s="259"/>
      <c r="F37" s="259"/>
      <c r="G37" s="259"/>
      <c r="H37" s="259"/>
      <c r="I37" s="259"/>
      <c r="J37" s="259"/>
      <c r="K37" s="259"/>
      <c r="L37" s="259"/>
      <c r="M37" s="259"/>
      <c r="N37" s="259"/>
      <c r="O37" s="259"/>
      <c r="P37" s="260"/>
      <c r="Q37" s="47"/>
    </row>
    <row r="38" spans="1:17" ht="18" customHeight="1" x14ac:dyDescent="0.3">
      <c r="A38" s="261" t="s">
        <v>72</v>
      </c>
      <c r="B38" s="262"/>
      <c r="C38" s="263"/>
      <c r="D38" s="264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47"/>
    </row>
    <row r="39" spans="1:17" ht="18" customHeight="1" x14ac:dyDescent="0.3">
      <c r="A39" s="261"/>
      <c r="B39" s="262"/>
      <c r="C39" s="263"/>
      <c r="D39" s="266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47"/>
    </row>
    <row r="40" spans="1:17" ht="18" customHeight="1" x14ac:dyDescent="0.3">
      <c r="A40" s="261"/>
      <c r="B40" s="262"/>
      <c r="C40" s="263"/>
      <c r="D40" s="266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47"/>
    </row>
    <row r="41" spans="1:17" ht="18" customHeight="1" x14ac:dyDescent="0.3">
      <c r="A41" s="261"/>
      <c r="B41" s="262"/>
      <c r="C41" s="263"/>
      <c r="D41" s="266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47"/>
    </row>
    <row r="42" spans="1:17" ht="18" customHeight="1" x14ac:dyDescent="0.3">
      <c r="A42" s="261"/>
      <c r="B42" s="262"/>
      <c r="C42" s="263"/>
      <c r="D42" s="266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47"/>
    </row>
    <row r="43" spans="1:17" ht="18" customHeight="1" x14ac:dyDescent="0.3">
      <c r="A43" s="261"/>
      <c r="B43" s="262"/>
      <c r="C43" s="263"/>
      <c r="D43" s="266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47"/>
    </row>
    <row r="44" spans="1:17" ht="18" customHeight="1" x14ac:dyDescent="0.3">
      <c r="A44" s="261"/>
      <c r="B44" s="262"/>
      <c r="C44" s="263"/>
      <c r="D44" s="266"/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39"/>
      <c r="P44" s="239"/>
      <c r="Q44" s="47"/>
    </row>
    <row r="45" spans="1:17" ht="18" customHeight="1" x14ac:dyDescent="0.3">
      <c r="A45" s="261"/>
      <c r="B45" s="262"/>
      <c r="C45" s="263"/>
      <c r="D45" s="266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47"/>
    </row>
    <row r="46" spans="1:17" ht="18" customHeight="1" x14ac:dyDescent="0.3">
      <c r="A46" s="261"/>
      <c r="B46" s="262"/>
      <c r="C46" s="263"/>
      <c r="D46" s="266"/>
      <c r="E46" s="239"/>
      <c r="F46" s="239"/>
      <c r="G46" s="239"/>
      <c r="H46" s="239"/>
      <c r="I46" s="239"/>
      <c r="J46" s="239"/>
      <c r="K46" s="239"/>
      <c r="L46" s="239"/>
      <c r="M46" s="239"/>
      <c r="N46" s="239"/>
      <c r="O46" s="239"/>
      <c r="P46" s="239"/>
      <c r="Q46" s="47"/>
    </row>
    <row r="47" spans="1:17" ht="20.100000000000001" customHeight="1" x14ac:dyDescent="0.3">
      <c r="A47" s="261"/>
      <c r="B47" s="262"/>
      <c r="C47" s="263"/>
      <c r="D47" s="267"/>
      <c r="E47" s="268"/>
      <c r="F47" s="268"/>
      <c r="G47" s="268"/>
      <c r="H47" s="268"/>
      <c r="I47" s="268"/>
      <c r="J47" s="268"/>
      <c r="K47" s="268"/>
      <c r="L47" s="268"/>
      <c r="M47" s="268"/>
      <c r="N47" s="268"/>
      <c r="O47" s="268"/>
      <c r="P47" s="268"/>
      <c r="Q47" s="47"/>
    </row>
    <row r="48" spans="1:17" ht="20.100000000000001" customHeight="1" x14ac:dyDescent="0.3">
      <c r="A48" s="269" t="s">
        <v>73</v>
      </c>
      <c r="B48" s="270"/>
      <c r="C48" s="271"/>
      <c r="D48" s="272"/>
      <c r="E48" s="273"/>
      <c r="F48" s="273"/>
      <c r="G48" s="273"/>
      <c r="H48" s="273"/>
      <c r="I48" s="273"/>
      <c r="J48" s="273"/>
      <c r="K48" s="273"/>
      <c r="L48" s="273"/>
      <c r="M48" s="273"/>
      <c r="N48" s="273"/>
      <c r="O48" s="273"/>
      <c r="P48" s="273"/>
      <c r="Q48" s="47"/>
    </row>
    <row r="49" spans="1:17" ht="20.100000000000001" customHeight="1" x14ac:dyDescent="0.3">
      <c r="A49" s="270"/>
      <c r="B49" s="270"/>
      <c r="C49" s="271"/>
      <c r="D49" s="272"/>
      <c r="E49" s="273"/>
      <c r="F49" s="273"/>
      <c r="G49" s="273"/>
      <c r="H49" s="273"/>
      <c r="I49" s="273"/>
      <c r="J49" s="273"/>
      <c r="K49" s="273"/>
      <c r="L49" s="273"/>
      <c r="M49" s="273"/>
      <c r="N49" s="273"/>
      <c r="O49" s="273"/>
      <c r="P49" s="273"/>
      <c r="Q49" s="47"/>
    </row>
    <row r="50" spans="1:17" ht="20.100000000000001" customHeight="1" x14ac:dyDescent="0.3">
      <c r="A50" s="270"/>
      <c r="B50" s="270"/>
      <c r="C50" s="271"/>
      <c r="D50" s="272"/>
      <c r="E50" s="273"/>
      <c r="F50" s="273"/>
      <c r="G50" s="273"/>
      <c r="H50" s="273"/>
      <c r="I50" s="273"/>
      <c r="J50" s="273"/>
      <c r="K50" s="273"/>
      <c r="L50" s="273"/>
      <c r="M50" s="273"/>
      <c r="N50" s="273"/>
      <c r="O50" s="273"/>
      <c r="P50" s="273"/>
      <c r="Q50" s="47"/>
    </row>
    <row r="51" spans="1:17" ht="20.100000000000001" customHeight="1" x14ac:dyDescent="0.3">
      <c r="A51" s="270"/>
      <c r="B51" s="270"/>
      <c r="C51" s="271"/>
      <c r="D51" s="272"/>
      <c r="E51" s="273"/>
      <c r="F51" s="273"/>
      <c r="G51" s="273"/>
      <c r="H51" s="273"/>
      <c r="I51" s="273"/>
      <c r="J51" s="273"/>
      <c r="K51" s="273"/>
      <c r="L51" s="273"/>
      <c r="M51" s="273"/>
      <c r="N51" s="273"/>
      <c r="O51" s="273"/>
      <c r="P51" s="273"/>
      <c r="Q51" s="47"/>
    </row>
    <row r="52" spans="1:17" ht="20.100000000000001" customHeight="1" x14ac:dyDescent="0.3">
      <c r="A52" s="270"/>
      <c r="B52" s="270"/>
      <c r="C52" s="271"/>
      <c r="D52" s="272"/>
      <c r="E52" s="273"/>
      <c r="F52" s="273"/>
      <c r="G52" s="273"/>
      <c r="H52" s="273"/>
      <c r="I52" s="273"/>
      <c r="J52" s="273"/>
      <c r="K52" s="273"/>
      <c r="L52" s="273"/>
      <c r="M52" s="273"/>
      <c r="N52" s="273"/>
      <c r="O52" s="273"/>
      <c r="P52" s="273"/>
      <c r="Q52" s="47"/>
    </row>
    <row r="53" spans="1:17" ht="20.100000000000001" customHeight="1" x14ac:dyDescent="0.3">
      <c r="A53" s="270"/>
      <c r="B53" s="270"/>
      <c r="C53" s="271"/>
      <c r="D53" s="272"/>
      <c r="E53" s="273"/>
      <c r="F53" s="273"/>
      <c r="G53" s="273"/>
      <c r="H53" s="273"/>
      <c r="I53" s="273"/>
      <c r="J53" s="273"/>
      <c r="K53" s="273"/>
      <c r="L53" s="273"/>
      <c r="M53" s="273"/>
      <c r="N53" s="273"/>
      <c r="O53" s="273"/>
      <c r="P53" s="273"/>
      <c r="Q53" s="47"/>
    </row>
    <row r="54" spans="1:17" ht="20.100000000000001" customHeight="1" x14ac:dyDescent="0.3">
      <c r="A54" s="270"/>
      <c r="B54" s="270"/>
      <c r="C54" s="271"/>
      <c r="D54" s="272"/>
      <c r="E54" s="273"/>
      <c r="F54" s="273"/>
      <c r="G54" s="273"/>
      <c r="H54" s="273"/>
      <c r="I54" s="273"/>
      <c r="J54" s="273"/>
      <c r="K54" s="273"/>
      <c r="L54" s="273"/>
      <c r="M54" s="273"/>
      <c r="N54" s="273"/>
      <c r="O54" s="273"/>
      <c r="P54" s="273"/>
      <c r="Q54" s="47"/>
    </row>
    <row r="55" spans="1:17" ht="20.100000000000001" customHeight="1" x14ac:dyDescent="0.3">
      <c r="A55" s="270"/>
      <c r="B55" s="270"/>
      <c r="C55" s="271"/>
      <c r="D55" s="272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47"/>
    </row>
    <row r="56" spans="1:17" ht="20.100000000000001" customHeight="1" x14ac:dyDescent="0.3">
      <c r="A56" s="270"/>
      <c r="B56" s="270"/>
      <c r="C56" s="271"/>
      <c r="D56" s="272"/>
      <c r="E56" s="273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47"/>
    </row>
    <row r="57" spans="1:17" ht="20.100000000000001" customHeight="1" x14ac:dyDescent="0.3">
      <c r="A57" s="270"/>
      <c r="B57" s="270"/>
      <c r="C57" s="271"/>
      <c r="D57" s="272"/>
      <c r="E57" s="273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47"/>
    </row>
    <row r="58" spans="1:17" ht="20.100000000000001" customHeight="1" x14ac:dyDescent="0.3">
      <c r="A58" s="270"/>
      <c r="B58" s="270"/>
      <c r="C58" s="271"/>
      <c r="D58" s="272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47"/>
    </row>
    <row r="59" spans="1:17" ht="20.100000000000001" customHeight="1" x14ac:dyDescent="0.3">
      <c r="A59" s="270"/>
      <c r="B59" s="270"/>
      <c r="C59" s="271"/>
      <c r="D59" s="272"/>
      <c r="E59" s="273"/>
      <c r="F59" s="273"/>
      <c r="G59" s="273"/>
      <c r="H59" s="273"/>
      <c r="I59" s="273"/>
      <c r="J59" s="273"/>
      <c r="K59" s="273"/>
      <c r="L59" s="273"/>
      <c r="M59" s="273"/>
      <c r="N59" s="273"/>
      <c r="O59" s="273"/>
      <c r="P59" s="273"/>
      <c r="Q59" s="47"/>
    </row>
    <row r="60" spans="1:17" ht="20.100000000000001" customHeight="1" x14ac:dyDescent="0.3">
      <c r="A60" s="270"/>
      <c r="B60" s="270"/>
      <c r="C60" s="271"/>
      <c r="D60" s="272"/>
      <c r="E60" s="273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273"/>
      <c r="Q60" s="47"/>
    </row>
    <row r="61" spans="1:17" ht="20.100000000000001" customHeight="1" x14ac:dyDescent="0.3">
      <c r="A61" s="270"/>
      <c r="B61" s="270"/>
      <c r="C61" s="271"/>
      <c r="D61" s="272"/>
      <c r="E61" s="273"/>
      <c r="F61" s="273"/>
      <c r="G61" s="273"/>
      <c r="H61" s="273"/>
      <c r="I61" s="273"/>
      <c r="J61" s="273"/>
      <c r="K61" s="273"/>
      <c r="L61" s="273"/>
      <c r="M61" s="273"/>
      <c r="N61" s="273"/>
      <c r="O61" s="273"/>
      <c r="P61" s="273"/>
      <c r="Q61" s="47"/>
    </row>
    <row r="62" spans="1:17" ht="20.100000000000001" customHeight="1" x14ac:dyDescent="0.3">
      <c r="A62" s="270"/>
      <c r="B62" s="270"/>
      <c r="C62" s="271"/>
      <c r="D62" s="272"/>
      <c r="E62" s="273"/>
      <c r="F62" s="273"/>
      <c r="G62" s="273"/>
      <c r="H62" s="273"/>
      <c r="I62" s="273"/>
      <c r="J62" s="273"/>
      <c r="K62" s="273"/>
      <c r="L62" s="273"/>
      <c r="M62" s="273"/>
      <c r="N62" s="273"/>
      <c r="O62" s="273"/>
      <c r="P62" s="273"/>
      <c r="Q62" s="47"/>
    </row>
    <row r="63" spans="1:17" ht="20.100000000000001" customHeight="1" x14ac:dyDescent="0.3">
      <c r="A63" s="270"/>
      <c r="B63" s="270"/>
      <c r="C63" s="271"/>
      <c r="D63" s="272"/>
      <c r="E63" s="273"/>
      <c r="F63" s="273"/>
      <c r="G63" s="273"/>
      <c r="H63" s="273"/>
      <c r="I63" s="273"/>
      <c r="J63" s="273"/>
      <c r="K63" s="273"/>
      <c r="L63" s="273"/>
      <c r="M63" s="273"/>
      <c r="N63" s="273"/>
      <c r="O63" s="273"/>
      <c r="P63" s="273"/>
      <c r="Q63" s="47"/>
    </row>
    <row r="64" spans="1:17" ht="20.100000000000001" customHeight="1" x14ac:dyDescent="0.3">
      <c r="A64" s="270"/>
      <c r="B64" s="270"/>
      <c r="C64" s="271"/>
      <c r="D64" s="272"/>
      <c r="E64" s="273"/>
      <c r="F64" s="273"/>
      <c r="G64" s="273"/>
      <c r="H64" s="273"/>
      <c r="I64" s="273"/>
      <c r="J64" s="273"/>
      <c r="K64" s="273"/>
      <c r="L64" s="273"/>
      <c r="M64" s="273"/>
      <c r="N64" s="273"/>
      <c r="O64" s="273"/>
      <c r="P64" s="273"/>
      <c r="Q64" s="47"/>
    </row>
    <row r="65" spans="1:17" ht="20.100000000000001" customHeight="1" x14ac:dyDescent="0.3">
      <c r="A65" s="270"/>
      <c r="B65" s="270"/>
      <c r="C65" s="271"/>
      <c r="D65" s="272"/>
      <c r="E65" s="273"/>
      <c r="F65" s="273"/>
      <c r="G65" s="273"/>
      <c r="H65" s="273"/>
      <c r="I65" s="273"/>
      <c r="J65" s="273"/>
      <c r="K65" s="273"/>
      <c r="L65" s="273"/>
      <c r="M65" s="273"/>
      <c r="N65" s="273"/>
      <c r="O65" s="273"/>
      <c r="P65" s="273"/>
      <c r="Q65" s="47"/>
    </row>
    <row r="66" spans="1:17" ht="20.100000000000001" customHeight="1" x14ac:dyDescent="0.3">
      <c r="A66" s="270"/>
      <c r="B66" s="270"/>
      <c r="C66" s="271"/>
      <c r="D66" s="272"/>
      <c r="E66" s="273"/>
      <c r="F66" s="273"/>
      <c r="G66" s="273"/>
      <c r="H66" s="273"/>
      <c r="I66" s="273"/>
      <c r="J66" s="273"/>
      <c r="K66" s="273"/>
      <c r="L66" s="273"/>
      <c r="M66" s="273"/>
      <c r="N66" s="273"/>
      <c r="O66" s="273"/>
      <c r="P66" s="273"/>
      <c r="Q66" s="47"/>
    </row>
    <row r="67" spans="1:17" ht="20.100000000000001" customHeight="1" x14ac:dyDescent="0.3">
      <c r="A67" s="270"/>
      <c r="B67" s="270"/>
      <c r="C67" s="271"/>
      <c r="D67" s="272"/>
      <c r="E67" s="273"/>
      <c r="F67" s="273"/>
      <c r="G67" s="273"/>
      <c r="H67" s="273"/>
      <c r="I67" s="273"/>
      <c r="J67" s="273"/>
      <c r="K67" s="273"/>
      <c r="L67" s="273"/>
      <c r="M67" s="273"/>
      <c r="N67" s="273"/>
      <c r="O67" s="273"/>
      <c r="P67" s="273"/>
      <c r="Q67" s="47"/>
    </row>
    <row r="68" spans="1:17" ht="20.100000000000001" customHeight="1" x14ac:dyDescent="0.3">
      <c r="A68" s="270"/>
      <c r="B68" s="270"/>
      <c r="C68" s="271"/>
      <c r="D68" s="272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273"/>
      <c r="P68" s="273"/>
      <c r="Q68" s="47"/>
    </row>
    <row r="69" spans="1:17" ht="24.95" customHeight="1" x14ac:dyDescent="0.3">
      <c r="A69" s="246" t="s">
        <v>114</v>
      </c>
      <c r="B69" s="246"/>
      <c r="C69" s="247"/>
      <c r="D69" s="252" t="s">
        <v>245</v>
      </c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253"/>
      <c r="P69" s="253"/>
      <c r="Q69" s="47"/>
    </row>
    <row r="70" spans="1:17" ht="24.95" customHeight="1" x14ac:dyDescent="0.3">
      <c r="A70" s="248"/>
      <c r="B70" s="248"/>
      <c r="C70" s="249"/>
      <c r="D70" s="254"/>
      <c r="E70" s="255"/>
      <c r="F70" s="255"/>
      <c r="G70" s="255"/>
      <c r="H70" s="255"/>
      <c r="I70" s="255"/>
      <c r="J70" s="255"/>
      <c r="K70" s="255"/>
      <c r="L70" s="255"/>
      <c r="M70" s="255"/>
      <c r="N70" s="255"/>
      <c r="O70" s="255"/>
      <c r="P70" s="255"/>
      <c r="Q70" s="47"/>
    </row>
    <row r="71" spans="1:17" ht="24.95" customHeight="1" x14ac:dyDescent="0.3">
      <c r="A71" s="248"/>
      <c r="B71" s="248"/>
      <c r="C71" s="249"/>
      <c r="D71" s="254"/>
      <c r="E71" s="255"/>
      <c r="F71" s="255"/>
      <c r="G71" s="255"/>
      <c r="H71" s="255"/>
      <c r="I71" s="255"/>
      <c r="J71" s="255"/>
      <c r="K71" s="255"/>
      <c r="L71" s="255"/>
      <c r="M71" s="255"/>
      <c r="N71" s="255"/>
      <c r="O71" s="255"/>
      <c r="P71" s="255"/>
      <c r="Q71" s="47"/>
    </row>
    <row r="72" spans="1:17" ht="24.95" customHeight="1" x14ac:dyDescent="0.3">
      <c r="A72" s="250"/>
      <c r="B72" s="250"/>
      <c r="C72" s="251"/>
      <c r="D72" s="256"/>
      <c r="E72" s="257"/>
      <c r="F72" s="257"/>
      <c r="G72" s="257"/>
      <c r="H72" s="257"/>
      <c r="I72" s="257"/>
      <c r="J72" s="257"/>
      <c r="K72" s="257"/>
      <c r="L72" s="257"/>
      <c r="M72" s="257"/>
      <c r="N72" s="257"/>
      <c r="O72" s="257"/>
      <c r="P72" s="257"/>
      <c r="Q72" s="47"/>
    </row>
    <row r="73" spans="1:17" ht="20.100000000000001" customHeight="1" x14ac:dyDescent="0.3">
      <c r="A73" s="239"/>
      <c r="B73" s="239"/>
      <c r="C73" s="239"/>
      <c r="D73" s="239"/>
      <c r="E73" s="239"/>
      <c r="F73" s="239"/>
      <c r="G73" s="239"/>
      <c r="H73" s="239"/>
      <c r="I73" s="239"/>
      <c r="J73" s="239"/>
      <c r="K73" s="239"/>
      <c r="L73" s="239"/>
      <c r="M73" s="239"/>
      <c r="N73" s="239"/>
      <c r="O73" s="239"/>
      <c r="P73" s="239"/>
      <c r="Q73" s="47"/>
    </row>
    <row r="74" spans="1:17" ht="20.100000000000001" customHeight="1" thickBot="1" x14ac:dyDescent="0.35">
      <c r="A74" s="242" t="s">
        <v>74</v>
      </c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47"/>
    </row>
    <row r="75" spans="1:17" ht="5.0999999999999996" customHeight="1" x14ac:dyDescent="0.3">
      <c r="A75" s="239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47"/>
    </row>
    <row r="76" spans="1:17" ht="30" customHeight="1" x14ac:dyDescent="0.3">
      <c r="A76" s="112" t="s">
        <v>1</v>
      </c>
      <c r="B76" s="68" t="s">
        <v>2</v>
      </c>
      <c r="C76" s="240" t="s">
        <v>75</v>
      </c>
      <c r="D76" s="240"/>
      <c r="E76" s="68" t="s">
        <v>76</v>
      </c>
      <c r="F76" s="68" t="s">
        <v>77</v>
      </c>
      <c r="G76" s="244" t="s">
        <v>115</v>
      </c>
      <c r="H76" s="245"/>
      <c r="I76" s="245"/>
      <c r="J76" s="245"/>
      <c r="K76" s="245"/>
      <c r="L76" s="245"/>
      <c r="M76" s="245"/>
      <c r="N76" s="245"/>
      <c r="O76" s="245"/>
      <c r="P76" s="245"/>
      <c r="Q76" s="47"/>
    </row>
    <row r="77" spans="1:17" ht="69.95" customHeight="1" x14ac:dyDescent="0.3">
      <c r="A77" s="69">
        <v>1</v>
      </c>
      <c r="B77" s="48" t="str">
        <f>IF(훈련생명단!C6="","",훈련생명단!C6)</f>
        <v>강민재</v>
      </c>
      <c r="C77" s="241" t="str">
        <f>IF(훈련생명단!D6="","",훈련생명단!D6)</f>
        <v>970904-1</v>
      </c>
      <c r="D77" s="241"/>
      <c r="E77" s="49">
        <f>'전체 훈련생 평가 채점표'!H9</f>
        <v>82.857142857142861</v>
      </c>
      <c r="F77" s="48">
        <f>IF(E77=0,"",IFERROR(RANK(E77,$E$77:$E$106),"-"))</f>
        <v>13</v>
      </c>
      <c r="G77" s="237" t="str">
        <f>점수계산!I4&amp;"  "&amp;"/"&amp;"  "&amp;점수계산!J4</f>
        <v xml:space="preserve">  /  </v>
      </c>
      <c r="H77" s="237"/>
      <c r="I77" s="237"/>
      <c r="J77" s="237"/>
      <c r="K77" s="237"/>
      <c r="L77" s="237"/>
      <c r="M77" s="237"/>
      <c r="N77" s="237"/>
      <c r="O77" s="237"/>
      <c r="P77" s="238"/>
      <c r="Q77" s="47"/>
    </row>
    <row r="78" spans="1:17" ht="69.95" customHeight="1" x14ac:dyDescent="0.3">
      <c r="A78" s="69">
        <v>2</v>
      </c>
      <c r="B78" s="48" t="str">
        <f>IF(훈련생명단!C7="","",훈련생명단!C7)</f>
        <v>권송이</v>
      </c>
      <c r="C78" s="236" t="str">
        <f>IF(훈련생명단!D7="","",훈련생명단!D7)</f>
        <v>881111-2</v>
      </c>
      <c r="D78" s="236"/>
      <c r="E78" s="49">
        <f>'전체 훈련생 평가 채점표'!H10</f>
        <v>87.142857142857139</v>
      </c>
      <c r="F78" s="48">
        <f t="shared" ref="F78:F106" si="0">IF(E78=0,"",IFERROR(RANK(E78,$E$77:$E$106),"-"))</f>
        <v>7</v>
      </c>
      <c r="G78" s="237" t="str">
        <f>점수계산!I5&amp;"  "&amp;"/"&amp;"  "&amp;점수계산!J5</f>
        <v xml:space="preserve">  /  </v>
      </c>
      <c r="H78" s="237"/>
      <c r="I78" s="237"/>
      <c r="J78" s="237"/>
      <c r="K78" s="237"/>
      <c r="L78" s="237"/>
      <c r="M78" s="237"/>
      <c r="N78" s="237"/>
      <c r="O78" s="237"/>
      <c r="P78" s="238"/>
      <c r="Q78" s="47"/>
    </row>
    <row r="79" spans="1:17" ht="69.95" customHeight="1" x14ac:dyDescent="0.3">
      <c r="A79" s="69">
        <v>3</v>
      </c>
      <c r="B79" s="48" t="str">
        <f>IF(훈련생명단!C8="","",훈련생명단!C8)</f>
        <v>김남연</v>
      </c>
      <c r="C79" s="236" t="str">
        <f>IF(훈련생명단!D8="","",훈련생명단!D8)</f>
        <v>981209-2</v>
      </c>
      <c r="D79" s="236"/>
      <c r="E79" s="49">
        <f>'전체 훈련생 평가 채점표'!H11</f>
        <v>91.428571428571431</v>
      </c>
      <c r="F79" s="48">
        <f t="shared" si="0"/>
        <v>2</v>
      </c>
      <c r="G79" s="237" t="str">
        <f>점수계산!I6&amp;"  "&amp;"/"&amp;"  "&amp;점수계산!J6</f>
        <v xml:space="preserve">  /  </v>
      </c>
      <c r="H79" s="237"/>
      <c r="I79" s="237"/>
      <c r="J79" s="237"/>
      <c r="K79" s="237"/>
      <c r="L79" s="237"/>
      <c r="M79" s="237"/>
      <c r="N79" s="237"/>
      <c r="O79" s="237"/>
      <c r="P79" s="238"/>
      <c r="Q79" s="47"/>
    </row>
    <row r="80" spans="1:17" ht="69.95" customHeight="1" x14ac:dyDescent="0.3">
      <c r="A80" s="69">
        <v>4</v>
      </c>
      <c r="B80" s="48" t="str">
        <f>IF(훈련생명단!C9="","",훈련생명단!C9)</f>
        <v>김미향</v>
      </c>
      <c r="C80" s="236" t="str">
        <f>IF(훈련생명단!D9="","",훈련생명단!D9)</f>
        <v xml:space="preserve">930728-2  </v>
      </c>
      <c r="D80" s="236"/>
      <c r="E80" s="49">
        <f>'전체 훈련생 평가 채점표'!H12</f>
        <v>82.857142857142861</v>
      </c>
      <c r="F80" s="48">
        <f t="shared" si="0"/>
        <v>13</v>
      </c>
      <c r="G80" s="237" t="str">
        <f>점수계산!I7&amp;"  "&amp;"/"&amp;"  "&amp;점수계산!J7</f>
        <v xml:space="preserve">  /  </v>
      </c>
      <c r="H80" s="237"/>
      <c r="I80" s="237"/>
      <c r="J80" s="237"/>
      <c r="K80" s="237"/>
      <c r="L80" s="237"/>
      <c r="M80" s="237"/>
      <c r="N80" s="237"/>
      <c r="O80" s="237"/>
      <c r="P80" s="238"/>
      <c r="Q80" s="47"/>
    </row>
    <row r="81" spans="1:17" ht="69.95" customHeight="1" x14ac:dyDescent="0.3">
      <c r="A81" s="69">
        <v>5</v>
      </c>
      <c r="B81" s="48" t="str">
        <f>IF(훈련생명단!C10="","",훈련생명단!C10)</f>
        <v>김영훈</v>
      </c>
      <c r="C81" s="236" t="str">
        <f>IF(훈련생명단!D10="","",훈련생명단!D10)</f>
        <v>970103-1</v>
      </c>
      <c r="D81" s="236"/>
      <c r="E81" s="49">
        <f>'전체 훈련생 평가 채점표'!H13</f>
        <v>91.428571428571431</v>
      </c>
      <c r="F81" s="48">
        <f t="shared" si="0"/>
        <v>2</v>
      </c>
      <c r="G81" s="237" t="str">
        <f>점수계산!I8&amp;"  "&amp;"/"&amp;"  "&amp;점수계산!J8</f>
        <v xml:space="preserve">  /  </v>
      </c>
      <c r="H81" s="237"/>
      <c r="I81" s="237"/>
      <c r="J81" s="237"/>
      <c r="K81" s="237"/>
      <c r="L81" s="237"/>
      <c r="M81" s="237"/>
      <c r="N81" s="237"/>
      <c r="O81" s="237"/>
      <c r="P81" s="238"/>
      <c r="Q81" s="47"/>
    </row>
    <row r="82" spans="1:17" ht="69.95" customHeight="1" x14ac:dyDescent="0.3">
      <c r="A82" s="69">
        <v>6</v>
      </c>
      <c r="B82" s="48" t="str">
        <f>IF(훈련생명단!C11="","",훈련생명단!C11)</f>
        <v>김은지</v>
      </c>
      <c r="C82" s="236" t="str">
        <f>IF(훈련생명단!D11="","",훈련생명단!D11)</f>
        <v>971112-2</v>
      </c>
      <c r="D82" s="236"/>
      <c r="E82" s="49">
        <f>'전체 훈련생 평가 채점표'!H14</f>
        <v>91.428571428571431</v>
      </c>
      <c r="F82" s="48">
        <f t="shared" si="0"/>
        <v>2</v>
      </c>
      <c r="G82" s="237" t="str">
        <f>점수계산!I9&amp;"  "&amp;"/"&amp;"  "&amp;점수계산!J9</f>
        <v xml:space="preserve">  /  </v>
      </c>
      <c r="H82" s="237"/>
      <c r="I82" s="237"/>
      <c r="J82" s="237"/>
      <c r="K82" s="237"/>
      <c r="L82" s="237"/>
      <c r="M82" s="237"/>
      <c r="N82" s="237"/>
      <c r="O82" s="237"/>
      <c r="P82" s="238"/>
      <c r="Q82" s="47"/>
    </row>
    <row r="83" spans="1:17" ht="69.95" customHeight="1" x14ac:dyDescent="0.3">
      <c r="A83" s="69">
        <v>7</v>
      </c>
      <c r="B83" s="48" t="str">
        <f>IF(훈련생명단!C12="","",훈련생명단!C12)</f>
        <v>김정서</v>
      </c>
      <c r="C83" s="236" t="str">
        <f>IF(훈련생명단!D12="","",훈련생명단!D12)</f>
        <v>961223-2</v>
      </c>
      <c r="D83" s="236"/>
      <c r="E83" s="49">
        <f>'전체 훈련생 평가 채점표'!H15</f>
        <v>87.142857142857139</v>
      </c>
      <c r="F83" s="48">
        <f t="shared" si="0"/>
        <v>7</v>
      </c>
      <c r="G83" s="237" t="str">
        <f>점수계산!I10&amp;"  "&amp;"/"&amp;"  "&amp;점수계산!J10</f>
        <v xml:space="preserve">  /  </v>
      </c>
      <c r="H83" s="237"/>
      <c r="I83" s="237"/>
      <c r="J83" s="237"/>
      <c r="K83" s="237"/>
      <c r="L83" s="237"/>
      <c r="M83" s="237"/>
      <c r="N83" s="237"/>
      <c r="O83" s="237"/>
      <c r="P83" s="238"/>
      <c r="Q83" s="47"/>
    </row>
    <row r="84" spans="1:17" ht="69.95" customHeight="1" x14ac:dyDescent="0.3">
      <c r="A84" s="69">
        <v>8</v>
      </c>
      <c r="B84" s="48" t="str">
        <f>IF(훈련생명단!C13="","",훈련생명단!C13)</f>
        <v>노혜진</v>
      </c>
      <c r="C84" s="236" t="str">
        <f>IF(훈련생명단!D13="","",훈련생명단!D13)</f>
        <v>960125-2</v>
      </c>
      <c r="D84" s="236"/>
      <c r="E84" s="49">
        <f>'전체 훈련생 평가 채점표'!H16</f>
        <v>87.142857142857139</v>
      </c>
      <c r="F84" s="48">
        <f t="shared" si="0"/>
        <v>7</v>
      </c>
      <c r="G84" s="237" t="str">
        <f>점수계산!I11&amp;"  "&amp;"/"&amp;"  "&amp;점수계산!J11</f>
        <v xml:space="preserve">  /  </v>
      </c>
      <c r="H84" s="237"/>
      <c r="I84" s="237"/>
      <c r="J84" s="237"/>
      <c r="K84" s="237"/>
      <c r="L84" s="237"/>
      <c r="M84" s="237"/>
      <c r="N84" s="237"/>
      <c r="O84" s="237"/>
      <c r="P84" s="238"/>
      <c r="Q84" s="47"/>
    </row>
    <row r="85" spans="1:17" ht="69.95" customHeight="1" x14ac:dyDescent="0.3">
      <c r="A85" s="69">
        <v>9</v>
      </c>
      <c r="B85" s="48" t="str">
        <f>IF(훈련생명단!C14="","",훈련생명단!C14)</f>
        <v>성수진</v>
      </c>
      <c r="C85" s="236" t="str">
        <f>IF(훈련생명단!D14="","",훈련생명단!D14)</f>
        <v>970507-2</v>
      </c>
      <c r="D85" s="236"/>
      <c r="E85" s="49">
        <f>'전체 훈련생 평가 채점표'!H17</f>
        <v>91.428571428571431</v>
      </c>
      <c r="F85" s="48">
        <f t="shared" si="0"/>
        <v>2</v>
      </c>
      <c r="G85" s="237" t="str">
        <f>점수계산!I12&amp;"  "&amp;"/"&amp;"  "&amp;점수계산!J12</f>
        <v xml:space="preserve">  /  </v>
      </c>
      <c r="H85" s="237"/>
      <c r="I85" s="237"/>
      <c r="J85" s="237"/>
      <c r="K85" s="237"/>
      <c r="L85" s="237"/>
      <c r="M85" s="237"/>
      <c r="N85" s="237"/>
      <c r="O85" s="237"/>
      <c r="P85" s="238"/>
      <c r="Q85" s="47"/>
    </row>
    <row r="86" spans="1:17" ht="69.95" customHeight="1" x14ac:dyDescent="0.3">
      <c r="A86" s="69">
        <v>10</v>
      </c>
      <c r="B86" s="48" t="str">
        <f>IF(훈련생명단!C15="","",훈련생명단!C15)</f>
        <v>송민서</v>
      </c>
      <c r="C86" s="236" t="str">
        <f>IF(훈련생명단!D15="","",훈련생명단!D15)</f>
        <v>970909-2</v>
      </c>
      <c r="D86" s="236"/>
      <c r="E86" s="49">
        <f>'전체 훈련생 평가 채점표'!H18</f>
        <v>82.857142857142861</v>
      </c>
      <c r="F86" s="48">
        <f t="shared" si="0"/>
        <v>13</v>
      </c>
      <c r="G86" s="237" t="str">
        <f>점수계산!I13&amp;"  "&amp;"/"&amp;"  "&amp;점수계산!J13</f>
        <v xml:space="preserve">  /  </v>
      </c>
      <c r="H86" s="237"/>
      <c r="I86" s="237"/>
      <c r="J86" s="237"/>
      <c r="K86" s="237"/>
      <c r="L86" s="237"/>
      <c r="M86" s="237"/>
      <c r="N86" s="237"/>
      <c r="O86" s="237"/>
      <c r="P86" s="238"/>
      <c r="Q86" s="47"/>
    </row>
    <row r="87" spans="1:17" ht="69.95" customHeight="1" x14ac:dyDescent="0.3">
      <c r="A87" s="69">
        <v>11</v>
      </c>
      <c r="B87" s="48" t="str">
        <f>IF(훈련생명단!C16="","",훈련생명단!C16)</f>
        <v>윤혜경</v>
      </c>
      <c r="C87" s="236" t="str">
        <f>IF(훈련생명단!D16="","",훈련생명단!D16)</f>
        <v>901121-2</v>
      </c>
      <c r="D87" s="236"/>
      <c r="E87" s="49">
        <f>'전체 훈련생 평가 채점표'!H19</f>
        <v>82.857142857142861</v>
      </c>
      <c r="F87" s="48">
        <f t="shared" si="0"/>
        <v>13</v>
      </c>
      <c r="G87" s="237" t="str">
        <f>점수계산!I14&amp;"  "&amp;"/"&amp;"  "&amp;점수계산!J14</f>
        <v xml:space="preserve">  /  </v>
      </c>
      <c r="H87" s="237"/>
      <c r="I87" s="237"/>
      <c r="J87" s="237"/>
      <c r="K87" s="237"/>
      <c r="L87" s="237"/>
      <c r="M87" s="237"/>
      <c r="N87" s="237"/>
      <c r="O87" s="237"/>
      <c r="P87" s="238"/>
      <c r="Q87" s="47"/>
    </row>
    <row r="88" spans="1:17" ht="69.95" customHeight="1" x14ac:dyDescent="0.3">
      <c r="A88" s="69">
        <v>12</v>
      </c>
      <c r="B88" s="48" t="str">
        <f>IF(훈련생명단!C17="","",훈련생명단!C17)</f>
        <v>이규원</v>
      </c>
      <c r="C88" s="236" t="str">
        <f>IF(훈련생명단!D17="","",훈련생명단!D17)</f>
        <v>940304-2</v>
      </c>
      <c r="D88" s="236"/>
      <c r="E88" s="49">
        <f>'전체 훈련생 평가 채점표'!H20</f>
        <v>78.571428571428569</v>
      </c>
      <c r="F88" s="48">
        <f t="shared" si="0"/>
        <v>17</v>
      </c>
      <c r="G88" s="237" t="str">
        <f>점수계산!I15&amp;"  "&amp;"/"&amp;"  "&amp;점수계산!J15</f>
        <v xml:space="preserve">  /  </v>
      </c>
      <c r="H88" s="237"/>
      <c r="I88" s="237"/>
      <c r="J88" s="237"/>
      <c r="K88" s="237"/>
      <c r="L88" s="237"/>
      <c r="M88" s="237"/>
      <c r="N88" s="237"/>
      <c r="O88" s="237"/>
      <c r="P88" s="238"/>
      <c r="Q88" s="47"/>
    </row>
    <row r="89" spans="1:17" ht="69.95" customHeight="1" x14ac:dyDescent="0.3">
      <c r="A89" s="69">
        <v>13</v>
      </c>
      <c r="B89" s="48" t="str">
        <f>IF(훈련생명단!C18="","",훈련생명단!C18)</f>
        <v>이동욱</v>
      </c>
      <c r="C89" s="236" t="str">
        <f>IF(훈련생명단!D18="","",훈련생명단!D18)</f>
        <v>930106-1</v>
      </c>
      <c r="D89" s="236"/>
      <c r="E89" s="49">
        <f>'전체 훈련생 평가 채점표'!H21</f>
        <v>87.142857142857139</v>
      </c>
      <c r="F89" s="48">
        <f t="shared" si="0"/>
        <v>7</v>
      </c>
      <c r="G89" s="237" t="str">
        <f>점수계산!I16&amp;"  "&amp;"/"&amp;"  "&amp;점수계산!J16</f>
        <v xml:space="preserve">  /  </v>
      </c>
      <c r="H89" s="237"/>
      <c r="I89" s="237"/>
      <c r="J89" s="237"/>
      <c r="K89" s="237"/>
      <c r="L89" s="237"/>
      <c r="M89" s="237"/>
      <c r="N89" s="237"/>
      <c r="O89" s="237"/>
      <c r="P89" s="238"/>
      <c r="Q89" s="47"/>
    </row>
    <row r="90" spans="1:17" ht="69.95" customHeight="1" x14ac:dyDescent="0.3">
      <c r="A90" s="69">
        <v>14</v>
      </c>
      <c r="B90" s="48" t="str">
        <f>IF(훈련생명단!C19="","",훈련생명단!C19)</f>
        <v>이은진</v>
      </c>
      <c r="C90" s="236" t="str">
        <f>IF(훈련생명단!D19="","",훈련생명단!D19)</f>
        <v>910517-2</v>
      </c>
      <c r="D90" s="236"/>
      <c r="E90" s="49">
        <f>'전체 훈련생 평가 채점표'!H22</f>
        <v>95.714285714285722</v>
      </c>
      <c r="F90" s="48">
        <f t="shared" si="0"/>
        <v>1</v>
      </c>
      <c r="G90" s="237" t="str">
        <f>점수계산!I17&amp;"  "&amp;"/"&amp;"  "&amp;점수계산!J17</f>
        <v xml:space="preserve">  /  </v>
      </c>
      <c r="H90" s="237"/>
      <c r="I90" s="237"/>
      <c r="J90" s="237"/>
      <c r="K90" s="237"/>
      <c r="L90" s="237"/>
      <c r="M90" s="237"/>
      <c r="N90" s="237"/>
      <c r="O90" s="237"/>
      <c r="P90" s="238"/>
      <c r="Q90" s="47"/>
    </row>
    <row r="91" spans="1:17" ht="69.95" customHeight="1" x14ac:dyDescent="0.3">
      <c r="A91" s="69">
        <v>15</v>
      </c>
      <c r="B91" s="48" t="str">
        <f>IF(훈련생명단!C20="","",훈련생명단!C20)</f>
        <v>이혜민</v>
      </c>
      <c r="C91" s="236" t="str">
        <f>IF(훈련생명단!D20="","",훈련생명단!D20)</f>
        <v>931029-2</v>
      </c>
      <c r="D91" s="236"/>
      <c r="E91" s="49">
        <f>'전체 훈련생 평가 채점표'!H23</f>
        <v>91.428571428571431</v>
      </c>
      <c r="F91" s="48">
        <f t="shared" si="0"/>
        <v>2</v>
      </c>
      <c r="G91" s="237" t="str">
        <f>점수계산!I18&amp;"  "&amp;"/"&amp;"  "&amp;점수계산!J18</f>
        <v xml:space="preserve">  /  </v>
      </c>
      <c r="H91" s="237"/>
      <c r="I91" s="237"/>
      <c r="J91" s="237"/>
      <c r="K91" s="237"/>
      <c r="L91" s="237"/>
      <c r="M91" s="237"/>
      <c r="N91" s="237"/>
      <c r="O91" s="237"/>
      <c r="P91" s="238"/>
      <c r="Q91" s="47"/>
    </row>
    <row r="92" spans="1:17" ht="69.95" customHeight="1" x14ac:dyDescent="0.3">
      <c r="A92" s="69">
        <v>16</v>
      </c>
      <c r="B92" s="48" t="str">
        <f>IF(훈련생명단!C21="","",훈련생명단!C21)</f>
        <v>정나현</v>
      </c>
      <c r="C92" s="236" t="str">
        <f>IF(훈련생명단!D21="","",훈련생명단!D21)</f>
        <v>951024-2</v>
      </c>
      <c r="D92" s="236"/>
      <c r="E92" s="49">
        <f>'전체 훈련생 평가 채점표'!H24</f>
        <v>78.571428571428569</v>
      </c>
      <c r="F92" s="48">
        <f t="shared" si="0"/>
        <v>17</v>
      </c>
      <c r="G92" s="237" t="str">
        <f>점수계산!I19&amp;"  "&amp;"/"&amp;"  "&amp;점수계산!J19</f>
        <v xml:space="preserve">  /  </v>
      </c>
      <c r="H92" s="237"/>
      <c r="I92" s="237"/>
      <c r="J92" s="237"/>
      <c r="K92" s="237"/>
      <c r="L92" s="237"/>
      <c r="M92" s="237"/>
      <c r="N92" s="237"/>
      <c r="O92" s="237"/>
      <c r="P92" s="238"/>
      <c r="Q92" s="47"/>
    </row>
    <row r="93" spans="1:17" ht="69.95" customHeight="1" x14ac:dyDescent="0.3">
      <c r="A93" s="69">
        <v>17</v>
      </c>
      <c r="B93" s="48" t="str">
        <f>IF(훈련생명단!C22="","",훈련생명단!C22)</f>
        <v>조유진</v>
      </c>
      <c r="C93" s="236" t="str">
        <f>IF(훈련생명단!D22="","",훈련생명단!D22)</f>
        <v>971010-2</v>
      </c>
      <c r="D93" s="236"/>
      <c r="E93" s="49">
        <f>'전체 훈련생 평가 채점표'!H25</f>
        <v>78.571428571428569</v>
      </c>
      <c r="F93" s="48">
        <f t="shared" si="0"/>
        <v>17</v>
      </c>
      <c r="G93" s="237" t="str">
        <f>점수계산!I20&amp;"  "&amp;"/"&amp;"  "&amp;점수계산!J20</f>
        <v xml:space="preserve">  /  </v>
      </c>
      <c r="H93" s="237"/>
      <c r="I93" s="237"/>
      <c r="J93" s="237"/>
      <c r="K93" s="237"/>
      <c r="L93" s="237"/>
      <c r="M93" s="237"/>
      <c r="N93" s="237"/>
      <c r="O93" s="237"/>
      <c r="P93" s="238"/>
      <c r="Q93" s="47"/>
    </row>
    <row r="94" spans="1:17" ht="69.95" customHeight="1" x14ac:dyDescent="0.3">
      <c r="A94" s="69">
        <v>18</v>
      </c>
      <c r="B94" s="48" t="str">
        <f>IF(훈련생명단!C23="","",훈련생명단!C23)</f>
        <v>하유정</v>
      </c>
      <c r="C94" s="236" t="str">
        <f>IF(훈련생명단!D23="","",훈련생명단!D23)</f>
        <v>960409-2</v>
      </c>
      <c r="D94" s="236"/>
      <c r="E94" s="49">
        <f>'전체 훈련생 평가 채점표'!H26</f>
        <v>87.142857142857139</v>
      </c>
      <c r="F94" s="48">
        <f t="shared" si="0"/>
        <v>7</v>
      </c>
      <c r="G94" s="237" t="str">
        <f>점수계산!I21&amp;"  "&amp;"/"&amp;"  "&amp;점수계산!J21</f>
        <v xml:space="preserve">  /  </v>
      </c>
      <c r="H94" s="237"/>
      <c r="I94" s="237"/>
      <c r="J94" s="237"/>
      <c r="K94" s="237"/>
      <c r="L94" s="237"/>
      <c r="M94" s="237"/>
      <c r="N94" s="237"/>
      <c r="O94" s="237"/>
      <c r="P94" s="238"/>
      <c r="Q94" s="47"/>
    </row>
    <row r="95" spans="1:17" ht="69.95" customHeight="1" x14ac:dyDescent="0.3">
      <c r="A95" s="69">
        <v>19</v>
      </c>
      <c r="B95" s="48" t="str">
        <f>IF(훈련생명단!C24="","",훈련생명단!C24)</f>
        <v>황다영</v>
      </c>
      <c r="C95" s="236" t="str">
        <f>IF(훈련생명단!D24="","",훈련생명단!D24)</f>
        <v>941024-2</v>
      </c>
      <c r="D95" s="236"/>
      <c r="E95" s="49">
        <f>'전체 훈련생 평가 채점표'!H27</f>
        <v>87.142857142857139</v>
      </c>
      <c r="F95" s="48">
        <f t="shared" si="0"/>
        <v>7</v>
      </c>
      <c r="G95" s="237" t="str">
        <f>점수계산!I22&amp;"  "&amp;"/"&amp;"  "&amp;점수계산!J22</f>
        <v xml:space="preserve">  /  </v>
      </c>
      <c r="H95" s="237"/>
      <c r="I95" s="237"/>
      <c r="J95" s="237"/>
      <c r="K95" s="237"/>
      <c r="L95" s="237"/>
      <c r="M95" s="237"/>
      <c r="N95" s="237"/>
      <c r="O95" s="237"/>
      <c r="P95" s="238"/>
      <c r="Q95" s="47"/>
    </row>
    <row r="96" spans="1:17" ht="69.95" customHeight="1" x14ac:dyDescent="0.3">
      <c r="A96" s="69">
        <v>20</v>
      </c>
      <c r="B96" s="48" t="str">
        <f>IF(훈련생명단!C25="","",훈련생명단!C25)</f>
        <v/>
      </c>
      <c r="C96" s="236" t="str">
        <f>IF(훈련생명단!D25="","",훈련생명단!D25)</f>
        <v/>
      </c>
      <c r="D96" s="236"/>
      <c r="E96" s="49" t="str">
        <f>'전체 훈련생 평가 채점표'!H28</f>
        <v/>
      </c>
      <c r="F96" s="48" t="str">
        <f t="shared" si="0"/>
        <v>-</v>
      </c>
      <c r="G96" s="237" t="str">
        <f>점수계산!I23&amp;"  "&amp;"/"&amp;"  "&amp;점수계산!J23</f>
        <v xml:space="preserve">  /  </v>
      </c>
      <c r="H96" s="237"/>
      <c r="I96" s="237"/>
      <c r="J96" s="237"/>
      <c r="K96" s="237"/>
      <c r="L96" s="237"/>
      <c r="M96" s="237"/>
      <c r="N96" s="237"/>
      <c r="O96" s="237"/>
      <c r="P96" s="238"/>
      <c r="Q96" s="47"/>
    </row>
    <row r="97" spans="1:17" ht="69.95" hidden="1" customHeight="1" x14ac:dyDescent="0.3">
      <c r="A97" s="69">
        <v>21</v>
      </c>
      <c r="B97" s="48" t="str">
        <f>IF(훈련생명단!C26="","",훈련생명단!C26)</f>
        <v/>
      </c>
      <c r="C97" s="236" t="str">
        <f>IF(훈련생명단!D26="","",훈련생명단!D26)</f>
        <v/>
      </c>
      <c r="D97" s="236"/>
      <c r="E97" s="49" t="str">
        <f>'전체 훈련생 평가 채점표'!H29</f>
        <v/>
      </c>
      <c r="F97" s="48" t="str">
        <f t="shared" si="0"/>
        <v>-</v>
      </c>
      <c r="G97" s="237" t="str">
        <f>점수계산!I24&amp;"  "&amp;"/"&amp;"  "&amp;점수계산!J24</f>
        <v xml:space="preserve">  /  </v>
      </c>
      <c r="H97" s="237"/>
      <c r="I97" s="237"/>
      <c r="J97" s="237"/>
      <c r="K97" s="237"/>
      <c r="L97" s="237"/>
      <c r="M97" s="237"/>
      <c r="N97" s="237"/>
      <c r="O97" s="237"/>
      <c r="P97" s="238"/>
      <c r="Q97" s="47"/>
    </row>
    <row r="98" spans="1:17" ht="69.95" hidden="1" customHeight="1" x14ac:dyDescent="0.3">
      <c r="A98" s="69">
        <v>22</v>
      </c>
      <c r="B98" s="48" t="str">
        <f>IF(훈련생명단!C27="","",훈련생명단!C27)</f>
        <v/>
      </c>
      <c r="C98" s="236" t="str">
        <f>IF(훈련생명단!D27="","",훈련생명단!D27)</f>
        <v/>
      </c>
      <c r="D98" s="236"/>
      <c r="E98" s="49" t="str">
        <f>'전체 훈련생 평가 채점표'!H30</f>
        <v/>
      </c>
      <c r="F98" s="48" t="str">
        <f t="shared" si="0"/>
        <v>-</v>
      </c>
      <c r="G98" s="237" t="str">
        <f>점수계산!I25&amp;"  "&amp;"/"&amp;"  "&amp;점수계산!J25</f>
        <v xml:space="preserve">  /  </v>
      </c>
      <c r="H98" s="237"/>
      <c r="I98" s="237"/>
      <c r="J98" s="237"/>
      <c r="K98" s="237"/>
      <c r="L98" s="237"/>
      <c r="M98" s="237"/>
      <c r="N98" s="237"/>
      <c r="O98" s="237"/>
      <c r="P98" s="238"/>
      <c r="Q98" s="47"/>
    </row>
    <row r="99" spans="1:17" ht="69.95" hidden="1" customHeight="1" x14ac:dyDescent="0.3">
      <c r="A99" s="69">
        <v>23</v>
      </c>
      <c r="B99" s="48" t="str">
        <f>IF(훈련생명단!C28="","",훈련생명단!C28)</f>
        <v/>
      </c>
      <c r="C99" s="236" t="str">
        <f>IF(훈련생명단!D28="","",훈련생명단!D28)</f>
        <v/>
      </c>
      <c r="D99" s="236"/>
      <c r="E99" s="49" t="str">
        <f>'전체 훈련생 평가 채점표'!H31</f>
        <v/>
      </c>
      <c r="F99" s="48" t="str">
        <f t="shared" si="0"/>
        <v>-</v>
      </c>
      <c r="G99" s="237" t="str">
        <f>점수계산!I26&amp;"  "&amp;"/"&amp;"  "&amp;점수계산!J26</f>
        <v xml:space="preserve">  /  </v>
      </c>
      <c r="H99" s="237"/>
      <c r="I99" s="237"/>
      <c r="J99" s="237"/>
      <c r="K99" s="237"/>
      <c r="L99" s="237"/>
      <c r="M99" s="237"/>
      <c r="N99" s="237"/>
      <c r="O99" s="237"/>
      <c r="P99" s="238"/>
      <c r="Q99" s="47"/>
    </row>
    <row r="100" spans="1:17" ht="69.95" hidden="1" customHeight="1" x14ac:dyDescent="0.3">
      <c r="A100" s="69">
        <v>24</v>
      </c>
      <c r="B100" s="48" t="str">
        <f>IF(훈련생명단!C29="","",훈련생명단!C29)</f>
        <v/>
      </c>
      <c r="C100" s="236" t="str">
        <f>IF(훈련생명단!D29="","",훈련생명단!D29)</f>
        <v/>
      </c>
      <c r="D100" s="236"/>
      <c r="E100" s="49" t="str">
        <f>'전체 훈련생 평가 채점표'!H32</f>
        <v/>
      </c>
      <c r="F100" s="48" t="str">
        <f t="shared" si="0"/>
        <v>-</v>
      </c>
      <c r="G100" s="237" t="str">
        <f>점수계산!I27&amp;"  "&amp;"/"&amp;"  "&amp;점수계산!J27</f>
        <v xml:space="preserve">  /  </v>
      </c>
      <c r="H100" s="237"/>
      <c r="I100" s="237"/>
      <c r="J100" s="237"/>
      <c r="K100" s="237"/>
      <c r="L100" s="237"/>
      <c r="M100" s="237"/>
      <c r="N100" s="237"/>
      <c r="O100" s="237"/>
      <c r="P100" s="238"/>
      <c r="Q100" s="47"/>
    </row>
    <row r="101" spans="1:17" ht="69.95" hidden="1" customHeight="1" x14ac:dyDescent="0.3">
      <c r="A101" s="69">
        <v>25</v>
      </c>
      <c r="B101" s="48" t="str">
        <f>IF(훈련생명단!C30="","",훈련생명단!C30)</f>
        <v/>
      </c>
      <c r="C101" s="236" t="str">
        <f>IF(훈련생명단!D30="","",훈련생명단!D30)</f>
        <v/>
      </c>
      <c r="D101" s="236"/>
      <c r="E101" s="49" t="str">
        <f>'전체 훈련생 평가 채점표'!H33</f>
        <v/>
      </c>
      <c r="F101" s="48" t="str">
        <f t="shared" si="0"/>
        <v>-</v>
      </c>
      <c r="G101" s="237" t="str">
        <f>점수계산!I28&amp;"  "&amp;"/"&amp;"  "&amp;점수계산!J28</f>
        <v xml:space="preserve">  /  </v>
      </c>
      <c r="H101" s="237"/>
      <c r="I101" s="237"/>
      <c r="J101" s="237"/>
      <c r="K101" s="237"/>
      <c r="L101" s="237"/>
      <c r="M101" s="237"/>
      <c r="N101" s="237"/>
      <c r="O101" s="237"/>
      <c r="P101" s="238"/>
      <c r="Q101" s="47"/>
    </row>
    <row r="102" spans="1:17" ht="69.95" hidden="1" customHeight="1" x14ac:dyDescent="0.3">
      <c r="A102" s="69">
        <v>26</v>
      </c>
      <c r="B102" s="48" t="str">
        <f>IF(훈련생명단!C31="","",훈련생명단!C31)</f>
        <v/>
      </c>
      <c r="C102" s="236" t="str">
        <f>IF(훈련생명단!D31="","",훈련생명단!D31)</f>
        <v/>
      </c>
      <c r="D102" s="236"/>
      <c r="E102" s="49" t="str">
        <f>'전체 훈련생 평가 채점표'!H34</f>
        <v/>
      </c>
      <c r="F102" s="48" t="str">
        <f t="shared" si="0"/>
        <v>-</v>
      </c>
      <c r="G102" s="237" t="str">
        <f>점수계산!I29&amp;"  "&amp;"/"&amp;"  "&amp;점수계산!J29</f>
        <v xml:space="preserve">  /  </v>
      </c>
      <c r="H102" s="237"/>
      <c r="I102" s="237"/>
      <c r="J102" s="237"/>
      <c r="K102" s="237"/>
      <c r="L102" s="237"/>
      <c r="M102" s="237"/>
      <c r="N102" s="237"/>
      <c r="O102" s="237"/>
      <c r="P102" s="238"/>
      <c r="Q102" s="47"/>
    </row>
    <row r="103" spans="1:17" ht="69.95" hidden="1" customHeight="1" x14ac:dyDescent="0.3">
      <c r="A103" s="69">
        <v>27</v>
      </c>
      <c r="B103" s="48" t="str">
        <f>IF(훈련생명단!C32="","",훈련생명단!C32)</f>
        <v/>
      </c>
      <c r="C103" s="236" t="str">
        <f>IF(훈련생명단!D32="","",훈련생명단!D32)</f>
        <v/>
      </c>
      <c r="D103" s="236"/>
      <c r="E103" s="49" t="str">
        <f>'전체 훈련생 평가 채점표'!H35</f>
        <v/>
      </c>
      <c r="F103" s="48" t="str">
        <f t="shared" si="0"/>
        <v>-</v>
      </c>
      <c r="G103" s="237" t="str">
        <f>점수계산!I30&amp;"  "&amp;"/"&amp;"  "&amp;점수계산!J30</f>
        <v xml:space="preserve">  /  </v>
      </c>
      <c r="H103" s="237"/>
      <c r="I103" s="237"/>
      <c r="J103" s="237"/>
      <c r="K103" s="237"/>
      <c r="L103" s="237"/>
      <c r="M103" s="237"/>
      <c r="N103" s="237"/>
      <c r="O103" s="237"/>
      <c r="P103" s="238"/>
      <c r="Q103" s="47"/>
    </row>
    <row r="104" spans="1:17" ht="69.95" hidden="1" customHeight="1" x14ac:dyDescent="0.3">
      <c r="A104" s="69">
        <v>28</v>
      </c>
      <c r="B104" s="48" t="str">
        <f>IF(훈련생명단!C33="","",훈련생명단!C33)</f>
        <v/>
      </c>
      <c r="C104" s="236" t="str">
        <f>IF(훈련생명단!D33="","",훈련생명단!D33)</f>
        <v/>
      </c>
      <c r="D104" s="236"/>
      <c r="E104" s="49" t="str">
        <f>'전체 훈련생 평가 채점표'!H36</f>
        <v/>
      </c>
      <c r="F104" s="48" t="str">
        <f t="shared" si="0"/>
        <v>-</v>
      </c>
      <c r="G104" s="237" t="str">
        <f>점수계산!I31&amp;"  "&amp;"/"&amp;"  "&amp;점수계산!J31</f>
        <v xml:space="preserve">  /  </v>
      </c>
      <c r="H104" s="237"/>
      <c r="I104" s="237"/>
      <c r="J104" s="237"/>
      <c r="K104" s="237"/>
      <c r="L104" s="237"/>
      <c r="M104" s="237"/>
      <c r="N104" s="237"/>
      <c r="O104" s="237"/>
      <c r="P104" s="238"/>
      <c r="Q104" s="47"/>
    </row>
    <row r="105" spans="1:17" ht="69.95" hidden="1" customHeight="1" x14ac:dyDescent="0.3">
      <c r="A105" s="69">
        <v>29</v>
      </c>
      <c r="B105" s="48" t="str">
        <f>IF(훈련생명단!C34="","",훈련생명단!C34)</f>
        <v/>
      </c>
      <c r="C105" s="236" t="str">
        <f>IF(훈련생명단!D34="","",훈련생명단!D34)</f>
        <v/>
      </c>
      <c r="D105" s="236"/>
      <c r="E105" s="49" t="str">
        <f>'전체 훈련생 평가 채점표'!H37</f>
        <v/>
      </c>
      <c r="F105" s="48" t="str">
        <f t="shared" si="0"/>
        <v>-</v>
      </c>
      <c r="G105" s="237" t="str">
        <f>점수계산!I32&amp;"  "&amp;"/"&amp;"  "&amp;점수계산!J32</f>
        <v xml:space="preserve">  /  </v>
      </c>
      <c r="H105" s="237"/>
      <c r="I105" s="237"/>
      <c r="J105" s="237"/>
      <c r="K105" s="237"/>
      <c r="L105" s="237"/>
      <c r="M105" s="237"/>
      <c r="N105" s="237"/>
      <c r="O105" s="237"/>
      <c r="P105" s="238"/>
      <c r="Q105" s="47"/>
    </row>
    <row r="106" spans="1:17" ht="69.95" hidden="1" customHeight="1" x14ac:dyDescent="0.3">
      <c r="A106" s="70">
        <v>30</v>
      </c>
      <c r="B106" s="50" t="str">
        <f>IF(훈련생명단!C35="","",훈련생명단!C35)</f>
        <v/>
      </c>
      <c r="C106" s="300" t="str">
        <f>IF(훈련생명단!D35="","",훈련생명단!D35)</f>
        <v/>
      </c>
      <c r="D106" s="300"/>
      <c r="E106" s="113" t="str">
        <f>'전체 훈련생 평가 채점표'!H38</f>
        <v/>
      </c>
      <c r="F106" s="50" t="str">
        <f t="shared" si="0"/>
        <v>-</v>
      </c>
      <c r="G106" s="301" t="str">
        <f>점수계산!I33&amp;"  "&amp;"/"&amp;"  "&amp;점수계산!J33</f>
        <v xml:space="preserve">  /  </v>
      </c>
      <c r="H106" s="301"/>
      <c r="I106" s="301"/>
      <c r="J106" s="301"/>
      <c r="K106" s="301"/>
      <c r="L106" s="301"/>
      <c r="M106" s="301"/>
      <c r="N106" s="301"/>
      <c r="O106" s="301"/>
      <c r="P106" s="302"/>
      <c r="Q106" s="47"/>
    </row>
    <row r="107" spans="1:17" ht="20.100000000000001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</row>
    <row r="108" spans="1:17" ht="20.100000000000001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</row>
    <row r="109" spans="1:17" ht="20.100000000000001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</row>
    <row r="110" spans="1:17" ht="20.100000000000001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</row>
    <row r="111" spans="1:17" ht="20.100000000000001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</row>
    <row r="112" spans="1:17" ht="20.100000000000001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</row>
    <row r="113" spans="1:17" ht="20.100000000000001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</row>
    <row r="114" spans="1:17" ht="20.100000000000001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</row>
    <row r="115" spans="1:17" ht="20.100000000000001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</row>
    <row r="116" spans="1:17" ht="20.100000000000001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</row>
    <row r="117" spans="1:17" ht="20.100000000000001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</row>
    <row r="118" spans="1:17" ht="20.100000000000001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</row>
    <row r="119" spans="1:17" ht="20.100000000000001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</row>
    <row r="120" spans="1:17" ht="20.100000000000001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</row>
    <row r="121" spans="1:17" ht="20.100000000000001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</row>
    <row r="122" spans="1:17" ht="20.100000000000001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</row>
    <row r="123" spans="1:17" ht="20.100000000000001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</row>
    <row r="124" spans="1:17" ht="20.100000000000001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</row>
    <row r="125" spans="1:17" ht="20.100000000000001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</row>
    <row r="126" spans="1:17" ht="20.100000000000001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</row>
    <row r="127" spans="1:17" ht="20.100000000000001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</row>
    <row r="128" spans="1:17" ht="20.100000000000001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</row>
    <row r="129" spans="1:17" ht="20.100000000000001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</row>
    <row r="130" spans="1:17" ht="20.100000000000001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</row>
    <row r="131" spans="1:17" ht="20.100000000000001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</row>
    <row r="132" spans="1:17" ht="20.100000000000001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</row>
    <row r="133" spans="1:17" ht="20.100000000000001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</row>
    <row r="134" spans="1:17" ht="20.100000000000001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</row>
    <row r="135" spans="1:17" ht="20.100000000000001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</row>
    <row r="136" spans="1:17" ht="20.100000000000001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</row>
    <row r="137" spans="1:17" ht="20.100000000000001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</row>
    <row r="138" spans="1:17" ht="20.100000000000001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</row>
    <row r="139" spans="1:17" ht="20.100000000000001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</row>
    <row r="140" spans="1:17" ht="20.100000000000001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</row>
    <row r="141" spans="1:17" ht="20.100000000000001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</row>
    <row r="142" spans="1:17" ht="20.100000000000001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</row>
    <row r="143" spans="1:17" ht="20.100000000000001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</row>
    <row r="144" spans="1:17" ht="20.100000000000001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</row>
    <row r="145" spans="1:17" ht="20.100000000000001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</row>
    <row r="146" spans="1:17" ht="20.100000000000001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</row>
    <row r="147" spans="1:17" ht="20.100000000000001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</row>
    <row r="148" spans="1:17" ht="20.100000000000001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</row>
    <row r="149" spans="1:17" ht="20.100000000000001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</row>
    <row r="150" spans="1:17" ht="20.100000000000001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</row>
    <row r="151" spans="1:17" ht="20.100000000000001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</row>
    <row r="152" spans="1:17" ht="20.100000000000001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</row>
    <row r="153" spans="1:17" ht="20.100000000000001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</row>
    <row r="154" spans="1:17" ht="20.100000000000001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</row>
    <row r="155" spans="1:17" ht="20.100000000000001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</row>
    <row r="156" spans="1:17" ht="20.100000000000001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</row>
    <row r="157" spans="1:17" ht="20.100000000000001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</row>
    <row r="158" spans="1:17" ht="20.100000000000001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</row>
    <row r="159" spans="1:17" ht="20.100000000000001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</row>
    <row r="160" spans="1:17" ht="20.100000000000001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</row>
    <row r="161" spans="1:17" ht="20.100000000000001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</row>
    <row r="162" spans="1:17" ht="20.100000000000001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</row>
    <row r="163" spans="1:17" ht="20.100000000000001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</row>
    <row r="164" spans="1:17" ht="20.100000000000001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</row>
    <row r="165" spans="1:17" ht="20.100000000000001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</row>
    <row r="166" spans="1:17" ht="20.100000000000001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</row>
    <row r="167" spans="1:17" ht="20.100000000000001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</row>
    <row r="168" spans="1:17" ht="20.100000000000001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</row>
    <row r="169" spans="1:17" ht="20.100000000000001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</row>
    <row r="170" spans="1:17" ht="20.100000000000001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</row>
    <row r="171" spans="1:17" ht="20.100000000000001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</row>
    <row r="172" spans="1:17" ht="20.100000000000001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</row>
    <row r="173" spans="1:17" ht="20.100000000000001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</row>
    <row r="174" spans="1:17" ht="20.100000000000001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</row>
    <row r="175" spans="1:17" ht="20.100000000000001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</row>
    <row r="176" spans="1:17" ht="20.100000000000001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</row>
    <row r="177" spans="1:17" ht="20.100000000000001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</row>
    <row r="178" spans="1:17" ht="20.100000000000001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</row>
    <row r="179" spans="1:17" ht="20.100000000000001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</row>
    <row r="180" spans="1:17" ht="20.100000000000001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</row>
    <row r="181" spans="1:17" ht="20.100000000000001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</row>
    <row r="182" spans="1:17" ht="20.100000000000001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</row>
    <row r="183" spans="1:17" ht="20.100000000000001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</row>
    <row r="184" spans="1:17" ht="20.100000000000001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</row>
    <row r="185" spans="1:17" ht="20.100000000000001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</row>
    <row r="186" spans="1:17" ht="20.100000000000001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</row>
    <row r="187" spans="1:17" ht="20.100000000000001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</row>
    <row r="188" spans="1:17" ht="20.100000000000001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</row>
    <row r="189" spans="1:17" ht="20.100000000000001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</row>
    <row r="190" spans="1:17" ht="20.100000000000001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</row>
    <row r="191" spans="1:17" ht="20.100000000000001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</row>
    <row r="192" spans="1:17" ht="20.100000000000001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</row>
    <row r="193" spans="1:17" ht="20.100000000000001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</row>
    <row r="194" spans="1:17" ht="20.100000000000001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</row>
    <row r="195" spans="1:17" ht="20.100000000000001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</row>
    <row r="196" spans="1:17" ht="20.100000000000001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</row>
    <row r="197" spans="1:17" ht="20.100000000000001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</row>
    <row r="198" spans="1:17" ht="20.100000000000001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</row>
    <row r="199" spans="1:17" ht="20.100000000000001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</row>
    <row r="200" spans="1:17" ht="20.100000000000001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</row>
    <row r="201" spans="1:17" ht="20.100000000000001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</row>
    <row r="202" spans="1:17" ht="20.100000000000001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</row>
    <row r="203" spans="1:17" ht="20.100000000000001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</row>
    <row r="204" spans="1:17" ht="20.100000000000001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</row>
    <row r="205" spans="1:17" ht="20.100000000000001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</row>
    <row r="206" spans="1:17" ht="20.100000000000001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</row>
    <row r="207" spans="1:17" ht="20.100000000000001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</row>
    <row r="208" spans="1:17" ht="20.100000000000001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</row>
    <row r="209" spans="1:17" ht="20.100000000000001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</row>
    <row r="210" spans="1:17" ht="20.100000000000001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</row>
    <row r="211" spans="1:17" ht="20.100000000000001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</row>
    <row r="212" spans="1:17" ht="20.100000000000001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</row>
    <row r="213" spans="1:17" ht="20.100000000000001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</row>
    <row r="214" spans="1:17" ht="20.100000000000001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</row>
    <row r="215" spans="1:17" ht="20.100000000000001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</row>
    <row r="216" spans="1:17" ht="20.100000000000001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</row>
    <row r="217" spans="1:17" ht="20.100000000000001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</row>
    <row r="218" spans="1:17" ht="20.100000000000001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</row>
    <row r="219" spans="1:17" ht="20.100000000000001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</row>
    <row r="220" spans="1:17" ht="20.100000000000001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</row>
    <row r="221" spans="1:17" ht="20.100000000000001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</row>
    <row r="222" spans="1:17" ht="20.100000000000001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</row>
    <row r="223" spans="1:17" ht="20.100000000000001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</row>
    <row r="224" spans="1:17" ht="20.100000000000001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</row>
    <row r="225" spans="1:17" ht="20.100000000000001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</row>
    <row r="226" spans="1:17" ht="20.100000000000001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</row>
    <row r="227" spans="1:17" ht="20.100000000000001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</row>
    <row r="228" spans="1:17" ht="20.100000000000001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</row>
    <row r="229" spans="1:17" ht="20.100000000000001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</row>
    <row r="230" spans="1:17" ht="20.100000000000001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</row>
    <row r="231" spans="1:17" ht="20.100000000000001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</row>
    <row r="232" spans="1:17" ht="20.100000000000001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</row>
    <row r="233" spans="1:17" ht="20.100000000000001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</row>
    <row r="234" spans="1:17" ht="20.100000000000001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</row>
    <row r="235" spans="1:17" ht="20.100000000000001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</row>
    <row r="236" spans="1:17" ht="20.100000000000001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</row>
    <row r="237" spans="1:17" ht="20.100000000000001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</row>
    <row r="238" spans="1:17" ht="20.100000000000001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</row>
    <row r="239" spans="1:17" ht="20.100000000000001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</row>
    <row r="240" spans="1:17" ht="20.100000000000001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</row>
    <row r="241" spans="1:17" ht="20.100000000000001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</row>
    <row r="242" spans="1:17" ht="20.100000000000001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</row>
    <row r="243" spans="1:17" ht="20.100000000000001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</row>
    <row r="244" spans="1:17" ht="20.100000000000001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</row>
    <row r="245" spans="1:17" ht="20.100000000000001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</row>
    <row r="246" spans="1:17" ht="20.100000000000001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</row>
    <row r="247" spans="1:17" ht="20.100000000000001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</row>
    <row r="248" spans="1:17" ht="20.100000000000001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</row>
    <row r="249" spans="1:17" ht="20.100000000000001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</row>
    <row r="250" spans="1:17" ht="20.100000000000001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</row>
    <row r="251" spans="1:17" ht="20.100000000000001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</row>
    <row r="252" spans="1:17" ht="20.100000000000001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</row>
    <row r="253" spans="1:17" ht="20.100000000000001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</row>
    <row r="254" spans="1:17" ht="20.100000000000001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</row>
    <row r="255" spans="1:17" ht="20.100000000000001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</row>
    <row r="256" spans="1:17" ht="20.100000000000001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</row>
    <row r="257" spans="1:17" ht="20.100000000000001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</row>
    <row r="258" spans="1:17" ht="20.100000000000001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</row>
    <row r="259" spans="1:17" ht="20.100000000000001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</row>
    <row r="260" spans="1:17" ht="20.100000000000001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</row>
    <row r="261" spans="1:17" ht="20.100000000000001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</row>
    <row r="262" spans="1:17" ht="20.100000000000001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</row>
    <row r="263" spans="1:17" ht="20.100000000000001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</row>
    <row r="264" spans="1:17" ht="20.100000000000001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</row>
    <row r="265" spans="1:17" ht="20.100000000000001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</row>
    <row r="266" spans="1:17" ht="20.100000000000001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</row>
    <row r="267" spans="1:17" ht="20.100000000000001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</row>
    <row r="268" spans="1:17" ht="20.100000000000001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</row>
    <row r="269" spans="1:17" ht="20.100000000000001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</row>
    <row r="270" spans="1:17" ht="20.100000000000001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</row>
    <row r="271" spans="1:17" ht="20.100000000000001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</row>
    <row r="272" spans="1:17" ht="20.100000000000001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</row>
    <row r="273" spans="1:17" ht="20.100000000000001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</row>
    <row r="274" spans="1:17" ht="20.100000000000001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</row>
    <row r="275" spans="1:17" ht="20.100000000000001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</row>
    <row r="276" spans="1:17" ht="20.100000000000001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</row>
    <row r="277" spans="1:17" ht="20.100000000000001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</row>
    <row r="278" spans="1:17" ht="20.100000000000001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</row>
    <row r="279" spans="1:17" ht="20.100000000000001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</row>
    <row r="280" spans="1:17" ht="20.100000000000001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</row>
    <row r="281" spans="1:17" ht="20.100000000000001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</row>
    <row r="282" spans="1:17" ht="20.100000000000001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</row>
    <row r="283" spans="1:17" ht="20.100000000000001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</row>
    <row r="284" spans="1:17" ht="20.100000000000001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</row>
    <row r="285" spans="1:17" ht="20.100000000000001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</row>
    <row r="286" spans="1:17" ht="20.100000000000001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</row>
    <row r="287" spans="1:17" ht="20.100000000000001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</row>
    <row r="288" spans="1:17" ht="20.100000000000001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</row>
    <row r="289" spans="1:17" ht="20.100000000000001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</row>
    <row r="290" spans="1:17" ht="20.100000000000001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</row>
    <row r="291" spans="1:17" ht="20.100000000000001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</row>
    <row r="292" spans="1:17" ht="20.100000000000001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</row>
    <row r="293" spans="1:17" ht="20.100000000000001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</row>
    <row r="294" spans="1:17" ht="20.100000000000001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</row>
    <row r="295" spans="1:17" ht="20.100000000000001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</row>
    <row r="296" spans="1:17" ht="20.100000000000001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</row>
    <row r="297" spans="1:17" ht="20.100000000000001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</row>
    <row r="298" spans="1:17" ht="20.100000000000001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</row>
    <row r="299" spans="1:17" ht="20.100000000000001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</row>
    <row r="300" spans="1:17" ht="20.100000000000001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</row>
    <row r="301" spans="1:17" ht="20.100000000000001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</row>
    <row r="302" spans="1:17" ht="20.100000000000001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</row>
    <row r="303" spans="1:17" ht="20.100000000000001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</row>
    <row r="304" spans="1:17" ht="20.100000000000001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</row>
    <row r="305" spans="1:17" ht="20.100000000000001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</row>
    <row r="306" spans="1:17" ht="20.100000000000001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</row>
    <row r="307" spans="1:17" ht="20.100000000000001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</row>
    <row r="308" spans="1:17" ht="20.100000000000001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</row>
    <row r="309" spans="1:17" ht="20.100000000000001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</row>
    <row r="310" spans="1:17" ht="20.100000000000001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</row>
    <row r="311" spans="1:17" ht="20.100000000000001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</row>
    <row r="312" spans="1:17" ht="20.100000000000001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</row>
    <row r="313" spans="1:17" ht="20.100000000000001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</row>
    <row r="314" spans="1:17" ht="20.100000000000001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</row>
    <row r="315" spans="1:17" ht="20.100000000000001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</row>
    <row r="316" spans="1:17" ht="20.100000000000001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</row>
    <row r="317" spans="1:17" ht="20.100000000000001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</row>
    <row r="318" spans="1:17" ht="20.100000000000001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</row>
    <row r="319" spans="1:17" ht="20.100000000000001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</row>
    <row r="320" spans="1:17" ht="20.100000000000001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</row>
    <row r="321" spans="1:17" ht="20.100000000000001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</row>
    <row r="322" spans="1:17" ht="20.100000000000001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</row>
    <row r="323" spans="1:17" ht="20.100000000000001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</row>
    <row r="324" spans="1:17" ht="20.100000000000001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</row>
    <row r="325" spans="1:17" ht="20.100000000000001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</row>
    <row r="326" spans="1:17" ht="20.100000000000001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</row>
    <row r="327" spans="1:17" ht="20.100000000000001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</row>
    <row r="328" spans="1:17" ht="20.100000000000001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</row>
    <row r="329" spans="1:17" ht="20.100000000000001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</row>
    <row r="330" spans="1:17" ht="20.100000000000001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</row>
    <row r="331" spans="1:17" ht="20.100000000000001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</row>
    <row r="332" spans="1:17" ht="20.100000000000001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</row>
    <row r="333" spans="1:17" ht="20.100000000000001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</row>
    <row r="334" spans="1:17" ht="20.100000000000001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</row>
    <row r="335" spans="1:17" ht="20.100000000000001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</row>
    <row r="336" spans="1:17" ht="20.100000000000001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</row>
    <row r="337" spans="1:17" ht="20.100000000000001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</row>
    <row r="338" spans="1:17" ht="20.100000000000001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</row>
    <row r="339" spans="1:17" ht="20.100000000000001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</row>
    <row r="340" spans="1:17" ht="20.100000000000001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</row>
    <row r="341" spans="1:17" ht="20.100000000000001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</row>
    <row r="342" spans="1:17" ht="20.100000000000001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</row>
    <row r="343" spans="1:17" ht="20.100000000000001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</row>
    <row r="344" spans="1:17" ht="20.100000000000001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</row>
    <row r="345" spans="1:17" ht="20.100000000000001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</row>
    <row r="346" spans="1:17" ht="20.100000000000001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</row>
    <row r="347" spans="1:17" ht="20.100000000000001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</row>
    <row r="348" spans="1:17" ht="20.100000000000001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</row>
    <row r="349" spans="1:17" ht="20.100000000000001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</row>
    <row r="350" spans="1:17" ht="20.100000000000001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</row>
    <row r="351" spans="1:17" ht="20.100000000000001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</row>
    <row r="352" spans="1:17" ht="20.100000000000001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</row>
    <row r="353" spans="1:17" ht="20.100000000000001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</row>
    <row r="354" spans="1:17" ht="20.100000000000001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</row>
    <row r="355" spans="1:17" ht="20.100000000000001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</row>
    <row r="356" spans="1:17" ht="20.100000000000001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</row>
    <row r="357" spans="1:17" ht="20.100000000000001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</row>
    <row r="358" spans="1:17" ht="20.100000000000001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</row>
    <row r="359" spans="1:17" ht="20.100000000000001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</row>
    <row r="360" spans="1:17" ht="20.100000000000001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</row>
    <row r="361" spans="1:17" ht="20.100000000000001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</row>
    <row r="362" spans="1:17" ht="20.100000000000001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</row>
    <row r="363" spans="1:17" ht="20.100000000000001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</row>
    <row r="364" spans="1:17" ht="20.100000000000001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</row>
    <row r="365" spans="1:17" ht="20.100000000000001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</row>
    <row r="366" spans="1:17" ht="20.100000000000001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</row>
    <row r="367" spans="1:17" ht="20.100000000000001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</row>
    <row r="368" spans="1:17" ht="20.100000000000001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</row>
    <row r="369" spans="1:17" ht="20.100000000000001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</row>
    <row r="370" spans="1:17" ht="20.100000000000001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</row>
    <row r="371" spans="1:17" ht="20.100000000000001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</row>
    <row r="372" spans="1:17" ht="20.100000000000001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</row>
    <row r="373" spans="1:17" ht="20.100000000000001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</row>
    <row r="374" spans="1:17" ht="20.100000000000001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</row>
    <row r="375" spans="1:17" ht="20.100000000000001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</row>
    <row r="376" spans="1:17" ht="20.100000000000001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</row>
    <row r="377" spans="1:17" ht="20.100000000000001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</row>
    <row r="378" spans="1:17" ht="20.100000000000001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</row>
    <row r="379" spans="1:17" ht="20.100000000000001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</row>
    <row r="380" spans="1:17" ht="20.100000000000001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</row>
    <row r="381" spans="1:17" ht="20.100000000000001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</row>
    <row r="382" spans="1:17" ht="20.100000000000001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</row>
    <row r="383" spans="1:17" ht="20.100000000000001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</row>
    <row r="384" spans="1:17" ht="20.100000000000001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</row>
    <row r="385" spans="1:17" ht="20.100000000000001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</row>
    <row r="386" spans="1:17" ht="20.100000000000001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</row>
    <row r="387" spans="1:17" ht="20.100000000000001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</row>
    <row r="388" spans="1:17" ht="20.100000000000001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</row>
    <row r="389" spans="1:17" ht="20.100000000000001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</row>
    <row r="390" spans="1:17" ht="20.100000000000001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</row>
    <row r="391" spans="1:17" ht="20.100000000000001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</row>
    <row r="392" spans="1:17" ht="20.100000000000001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</row>
    <row r="393" spans="1:17" ht="20.100000000000001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</row>
    <row r="394" spans="1:17" ht="20.100000000000001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</row>
    <row r="395" spans="1:17" ht="20.100000000000001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</row>
    <row r="396" spans="1:17" ht="20.100000000000001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</row>
    <row r="397" spans="1:17" ht="20.100000000000001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</row>
    <row r="398" spans="1:17" ht="20.100000000000001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</row>
    <row r="399" spans="1:17" ht="20.100000000000001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</row>
    <row r="400" spans="1:17" ht="20.100000000000001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</row>
    <row r="401" spans="1:17" ht="20.100000000000001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</row>
    <row r="402" spans="1:17" ht="20.100000000000001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</row>
    <row r="403" spans="1:17" ht="20.100000000000001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</row>
    <row r="404" spans="1:17" ht="20.100000000000001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</row>
    <row r="405" spans="1:17" ht="20.100000000000001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</row>
    <row r="406" spans="1:17" ht="20.100000000000001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</row>
    <row r="407" spans="1:17" ht="20.100000000000001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</row>
    <row r="408" spans="1:17" ht="20.100000000000001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</row>
    <row r="409" spans="1:17" ht="20.100000000000001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</row>
    <row r="410" spans="1:17" ht="20.100000000000001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</row>
    <row r="411" spans="1:17" ht="20.100000000000001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</row>
    <row r="412" spans="1:17" ht="20.100000000000001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</row>
    <row r="413" spans="1:17" ht="20.100000000000001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</row>
    <row r="414" spans="1:17" ht="20.100000000000001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</row>
    <row r="415" spans="1:17" ht="20.100000000000001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</row>
    <row r="416" spans="1:17" ht="20.100000000000001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</row>
    <row r="417" spans="1:17" ht="20.100000000000001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</row>
    <row r="418" spans="1:17" ht="20.100000000000001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</row>
    <row r="419" spans="1:17" ht="20.100000000000001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</row>
    <row r="420" spans="1:17" ht="20.100000000000001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</row>
    <row r="421" spans="1:17" ht="20.100000000000001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</row>
    <row r="422" spans="1:17" ht="20.100000000000001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</row>
    <row r="423" spans="1:17" ht="20.100000000000001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</row>
    <row r="424" spans="1:17" ht="20.100000000000001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</row>
    <row r="425" spans="1:17" ht="20.100000000000001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</row>
    <row r="426" spans="1:17" ht="20.100000000000001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</row>
    <row r="427" spans="1:17" ht="20.100000000000001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</row>
    <row r="428" spans="1:17" ht="20.100000000000001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</row>
    <row r="429" spans="1:17" ht="20.100000000000001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</row>
    <row r="430" spans="1:17" ht="20.100000000000001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</row>
    <row r="431" spans="1:17" ht="20.100000000000001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</row>
    <row r="432" spans="1:17" ht="20.100000000000001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</row>
    <row r="433" spans="1:17" ht="20.100000000000001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</row>
    <row r="434" spans="1:17" ht="20.100000000000001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</row>
    <row r="435" spans="1:17" ht="20.100000000000001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</row>
    <row r="436" spans="1:17" ht="20.100000000000001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</row>
    <row r="437" spans="1:17" ht="20.100000000000001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</row>
    <row r="438" spans="1:17" ht="20.100000000000001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</row>
    <row r="439" spans="1:17" ht="20.100000000000001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</row>
    <row r="440" spans="1:17" ht="20.100000000000001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</row>
    <row r="441" spans="1:17" ht="20.100000000000001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</row>
    <row r="442" spans="1:17" ht="20.100000000000001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</row>
    <row r="443" spans="1:17" ht="20.100000000000001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</row>
    <row r="444" spans="1:17" ht="20.100000000000001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</row>
    <row r="445" spans="1:17" ht="20.100000000000001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</row>
    <row r="446" spans="1:17" ht="20.100000000000001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</row>
    <row r="447" spans="1:17" ht="20.100000000000001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</row>
    <row r="448" spans="1:17" ht="20.100000000000001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</row>
    <row r="449" spans="1:17" ht="20.100000000000001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</row>
    <row r="450" spans="1:17" ht="20.100000000000001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</row>
    <row r="451" spans="1:17" ht="20.100000000000001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</row>
    <row r="452" spans="1:17" ht="20.100000000000001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</row>
    <row r="453" spans="1:17" ht="20.100000000000001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</row>
    <row r="454" spans="1:17" ht="20.100000000000001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</row>
    <row r="455" spans="1:17" ht="20.100000000000001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</row>
    <row r="456" spans="1:17" ht="20.100000000000001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</row>
    <row r="457" spans="1:17" ht="20.100000000000001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</row>
    <row r="458" spans="1:17" ht="20.100000000000001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</row>
    <row r="459" spans="1:17" ht="20.100000000000001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</row>
    <row r="460" spans="1:17" ht="20.100000000000001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</row>
    <row r="461" spans="1:17" ht="20.100000000000001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</row>
    <row r="462" spans="1:17" ht="20.100000000000001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</row>
    <row r="463" spans="1:17" ht="20.100000000000001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</row>
    <row r="464" spans="1:17" ht="20.100000000000001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</row>
    <row r="465" spans="1:17" ht="20.100000000000001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</row>
    <row r="466" spans="1:17" ht="20.100000000000001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</row>
    <row r="467" spans="1:17" ht="20.100000000000001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</row>
    <row r="468" spans="1:17" ht="20.100000000000001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</row>
    <row r="469" spans="1:17" ht="20.100000000000001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</row>
    <row r="470" spans="1:17" ht="20.100000000000001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</row>
    <row r="471" spans="1:17" ht="20.100000000000001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</row>
    <row r="472" spans="1:17" ht="20.100000000000001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</row>
    <row r="473" spans="1:17" ht="20.100000000000001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</row>
    <row r="474" spans="1:17" ht="20.100000000000001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</row>
    <row r="475" spans="1:17" ht="20.100000000000001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</row>
    <row r="476" spans="1:17" ht="20.100000000000001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</row>
    <row r="477" spans="1:17" ht="20.100000000000001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</row>
    <row r="478" spans="1:17" ht="20.100000000000001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</row>
    <row r="479" spans="1:17" ht="20.100000000000001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</row>
    <row r="480" spans="1:17" ht="20.100000000000001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</row>
    <row r="481" spans="1:17" ht="20.100000000000001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</row>
    <row r="482" spans="1:17" ht="20.100000000000001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</row>
    <row r="483" spans="1:17" ht="20.100000000000001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</row>
    <row r="484" spans="1:17" ht="20.100000000000001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</row>
    <row r="485" spans="1:17" ht="20.100000000000001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</row>
    <row r="486" spans="1:17" ht="20.100000000000001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</row>
  </sheetData>
  <mergeCells count="141">
    <mergeCell ref="C102:D102"/>
    <mergeCell ref="G102:P102"/>
    <mergeCell ref="C103:D103"/>
    <mergeCell ref="G103:P103"/>
    <mergeCell ref="C104:D104"/>
    <mergeCell ref="G104:P104"/>
    <mergeCell ref="C105:D105"/>
    <mergeCell ref="G105:P105"/>
    <mergeCell ref="C106:D106"/>
    <mergeCell ref="G106:P106"/>
    <mergeCell ref="C97:D97"/>
    <mergeCell ref="G97:P97"/>
    <mergeCell ref="C98:D98"/>
    <mergeCell ref="G98:P98"/>
    <mergeCell ref="C99:D99"/>
    <mergeCell ref="G99:P99"/>
    <mergeCell ref="C100:D100"/>
    <mergeCell ref="G100:P100"/>
    <mergeCell ref="C101:D101"/>
    <mergeCell ref="G101:P101"/>
    <mergeCell ref="F16:P16"/>
    <mergeCell ref="B17:E17"/>
    <mergeCell ref="G23:H23"/>
    <mergeCell ref="I23:K23"/>
    <mergeCell ref="F18:P18"/>
    <mergeCell ref="F11:P11"/>
    <mergeCell ref="A2:I3"/>
    <mergeCell ref="G5:I5"/>
    <mergeCell ref="A7:P7"/>
    <mergeCell ref="A8:P8"/>
    <mergeCell ref="A9:A12"/>
    <mergeCell ref="B9:E9"/>
    <mergeCell ref="F9:P9"/>
    <mergeCell ref="B10:E10"/>
    <mergeCell ref="F10:P10"/>
    <mergeCell ref="B11:E11"/>
    <mergeCell ref="B12:E12"/>
    <mergeCell ref="F12:P12"/>
    <mergeCell ref="A13:A18"/>
    <mergeCell ref="B13:E13"/>
    <mergeCell ref="F13:P13"/>
    <mergeCell ref="B14:E14"/>
    <mergeCell ref="F14:P14"/>
    <mergeCell ref="B15:E15"/>
    <mergeCell ref="F15:P15"/>
    <mergeCell ref="B16:E16"/>
    <mergeCell ref="F17:P17"/>
    <mergeCell ref="B18:E18"/>
    <mergeCell ref="A25:P25"/>
    <mergeCell ref="A26:P26"/>
    <mergeCell ref="A27:P27"/>
    <mergeCell ref="A28:C28"/>
    <mergeCell ref="D28:G28"/>
    <mergeCell ref="H28:P28"/>
    <mergeCell ref="L23:M23"/>
    <mergeCell ref="N23:O23"/>
    <mergeCell ref="A24:C24"/>
    <mergeCell ref="D24:F24"/>
    <mergeCell ref="G24:H24"/>
    <mergeCell ref="I24:K24"/>
    <mergeCell ref="L24:M24"/>
    <mergeCell ref="N24:O24"/>
    <mergeCell ref="A19:P19"/>
    <mergeCell ref="A20:P20"/>
    <mergeCell ref="A21:P21"/>
    <mergeCell ref="A22:H22"/>
    <mergeCell ref="I22:O22"/>
    <mergeCell ref="P22:P23"/>
    <mergeCell ref="A23:C23"/>
    <mergeCell ref="D23:F23"/>
    <mergeCell ref="A31:C31"/>
    <mergeCell ref="D31:G31"/>
    <mergeCell ref="H31:P31"/>
    <mergeCell ref="A32:C32"/>
    <mergeCell ref="D32:G32"/>
    <mergeCell ref="H32:P32"/>
    <mergeCell ref="A29:C29"/>
    <mergeCell ref="D29:G29"/>
    <mergeCell ref="H29:P29"/>
    <mergeCell ref="A30:C30"/>
    <mergeCell ref="D30:G30"/>
    <mergeCell ref="H30:P30"/>
    <mergeCell ref="A37:C37"/>
    <mergeCell ref="D37:P37"/>
    <mergeCell ref="A38:C47"/>
    <mergeCell ref="D38:P47"/>
    <mergeCell ref="A48:C68"/>
    <mergeCell ref="D48:P68"/>
    <mergeCell ref="A33:C33"/>
    <mergeCell ref="D33:G33"/>
    <mergeCell ref="H33:P33"/>
    <mergeCell ref="A34:P34"/>
    <mergeCell ref="A35:P35"/>
    <mergeCell ref="A36:P36"/>
    <mergeCell ref="A75:P75"/>
    <mergeCell ref="C76:D76"/>
    <mergeCell ref="C77:D77"/>
    <mergeCell ref="A73:P73"/>
    <mergeCell ref="A74:P74"/>
    <mergeCell ref="G76:P76"/>
    <mergeCell ref="G77:P77"/>
    <mergeCell ref="A69:C72"/>
    <mergeCell ref="D69:P72"/>
    <mergeCell ref="C82:D82"/>
    <mergeCell ref="C83:D83"/>
    <mergeCell ref="G82:P82"/>
    <mergeCell ref="G83:P83"/>
    <mergeCell ref="G84:P84"/>
    <mergeCell ref="G85:P85"/>
    <mergeCell ref="C80:D80"/>
    <mergeCell ref="C81:D81"/>
    <mergeCell ref="C78:D78"/>
    <mergeCell ref="C79:D79"/>
    <mergeCell ref="G78:P78"/>
    <mergeCell ref="G79:P79"/>
    <mergeCell ref="G80:P80"/>
    <mergeCell ref="G81:P81"/>
    <mergeCell ref="C88:D88"/>
    <mergeCell ref="C89:D89"/>
    <mergeCell ref="C86:D86"/>
    <mergeCell ref="C87:D87"/>
    <mergeCell ref="G86:P86"/>
    <mergeCell ref="G87:P87"/>
    <mergeCell ref="G88:P88"/>
    <mergeCell ref="G89:P89"/>
    <mergeCell ref="C84:D84"/>
    <mergeCell ref="C85:D85"/>
    <mergeCell ref="C96:D96"/>
    <mergeCell ref="C94:D94"/>
    <mergeCell ref="C95:D95"/>
    <mergeCell ref="G94:P94"/>
    <mergeCell ref="G95:P95"/>
    <mergeCell ref="G96:P96"/>
    <mergeCell ref="C92:D92"/>
    <mergeCell ref="C93:D93"/>
    <mergeCell ref="C90:D90"/>
    <mergeCell ref="C91:D91"/>
    <mergeCell ref="G90:P90"/>
    <mergeCell ref="G91:P91"/>
    <mergeCell ref="G92:P92"/>
    <mergeCell ref="G93:P93"/>
  </mergeCells>
  <phoneticPr fontId="2" type="noConversion"/>
  <printOptions horizontalCentered="1"/>
  <pageMargins left="0.25" right="0.25" top="0.75" bottom="0.75" header="0.3" footer="0.3"/>
  <pageSetup paperSize="9" scale="87" fitToHeight="0" orientation="portrait" r:id="rId1"/>
  <rowBreaks count="4" manualBreakCount="4">
    <brk id="47" max="15" man="1"/>
    <brk id="73" max="16383" man="1"/>
    <brk id="86" max="15" man="1"/>
    <brk id="96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M1320"/>
  <sheetViews>
    <sheetView view="pageBreakPreview" topLeftCell="A34" zoomScale="90" zoomScaleNormal="100" zoomScaleSheetLayoutView="90" workbookViewId="0">
      <selection activeCell="N52" sqref="N52"/>
    </sheetView>
  </sheetViews>
  <sheetFormatPr defaultRowHeight="16.5" x14ac:dyDescent="0.3"/>
  <cols>
    <col min="1" max="1" width="5.375" style="63" customWidth="1"/>
    <col min="2" max="2" width="5" style="64" customWidth="1"/>
    <col min="3" max="3" width="13.875" style="64" customWidth="1"/>
    <col min="4" max="4" width="18.5" style="64" customWidth="1"/>
    <col min="5" max="5" width="4.125" style="64" customWidth="1"/>
    <col min="6" max="6" width="2.75" style="64" customWidth="1"/>
    <col min="7" max="7" width="9" style="64"/>
    <col min="8" max="9" width="9.625" style="64" customWidth="1"/>
    <col min="10" max="12" width="5.625" style="63" customWidth="1"/>
    <col min="13" max="16384" width="9" style="63"/>
  </cols>
  <sheetData>
    <row r="1" spans="1:13" ht="21.95" customHeight="1" x14ac:dyDescent="0.3">
      <c r="A1" s="453" t="str">
        <f>MID(VLOOKUP('전체 훈련생 평가 채점표'!$L$2,'기초데이타(작성필히)'!$A$5:$P$19,9),18,50)&amp;" 수행평가"</f>
        <v xml:space="preserve">  스마트문화앱UX설계 수행평가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</row>
    <row r="2" spans="1:13" ht="18" customHeight="1" x14ac:dyDescent="0.3">
      <c r="A2" s="309" t="s">
        <v>16</v>
      </c>
      <c r="B2" s="454">
        <f>VLOOKUP('전체 훈련생 평가 채점표'!$L$2,'기초데이타(작성필히)'!$A$5:$P$19,3)</f>
        <v>2021</v>
      </c>
      <c r="C2" s="454" t="s">
        <v>17</v>
      </c>
      <c r="D2" s="455" t="str">
        <f>VLOOKUP('전체 훈련생 평가 채점표'!$L$2,'기초데이타(작성필히)'!$A$5:$P$19,4)</f>
        <v>[디지털디자인]반응형 웹디자인(UIUX) &amp; 웹퍼블리셔 디지털 실무 양성과정 A-5</v>
      </c>
      <c r="E2" s="455"/>
      <c r="F2" s="455"/>
      <c r="G2" s="454" t="s">
        <v>18</v>
      </c>
      <c r="H2" s="359" t="str">
        <f>VLOOKUP('전체 훈련생 평가 채점표'!$L$2,'기초데이타(작성필히)'!$A$5:$P$19,5)</f>
        <v>21.08.31 ~ 22.02.07</v>
      </c>
      <c r="I2" s="360"/>
      <c r="J2" s="361"/>
      <c r="K2" s="460" t="s">
        <v>78</v>
      </c>
      <c r="L2" s="309" t="str">
        <f>VLOOKUP('전체 훈련생 평가 채점표'!$L$2,'기초데이타(작성필히)'!$A$5:$P$19,6)</f>
        <v>760H</v>
      </c>
    </row>
    <row r="3" spans="1:13" ht="18" customHeight="1" x14ac:dyDescent="0.3">
      <c r="A3" s="412"/>
      <c r="B3" s="413"/>
      <c r="C3" s="413"/>
      <c r="D3" s="456"/>
      <c r="E3" s="456"/>
      <c r="F3" s="456"/>
      <c r="G3" s="413"/>
      <c r="H3" s="457"/>
      <c r="I3" s="458"/>
      <c r="J3" s="459"/>
      <c r="K3" s="461"/>
      <c r="L3" s="412"/>
    </row>
    <row r="4" spans="1:13" ht="18" customHeight="1" x14ac:dyDescent="0.3">
      <c r="A4" s="412" t="s">
        <v>23</v>
      </c>
      <c r="B4" s="412"/>
      <c r="C4" s="412" t="str">
        <f>LEFT(VLOOKUP('전체 훈련생 평가 채점표'!$L$2,'기초데이타(작성필히)'!$A$5:$P$19,9),17)</f>
        <v>[0803020911_18v3]</v>
      </c>
      <c r="D4" s="412"/>
      <c r="E4" s="412"/>
      <c r="F4" s="412"/>
      <c r="G4" s="413" t="s">
        <v>24</v>
      </c>
      <c r="H4" s="412" t="str">
        <f>VLOOKUP('전체 훈련생 평가 채점표'!$L$2,'기초데이타(작성필히)'!$A$5:$P$19,12)</f>
        <v>이창훈</v>
      </c>
      <c r="I4" s="412"/>
      <c r="J4" s="412"/>
      <c r="K4" s="414"/>
      <c r="L4" s="415" t="s">
        <v>25</v>
      </c>
    </row>
    <row r="5" spans="1:13" ht="18" customHeight="1" x14ac:dyDescent="0.3">
      <c r="A5" s="412"/>
      <c r="B5" s="412"/>
      <c r="C5" s="412" t="str">
        <f>MID(VLOOKUP('전체 훈련생 평가 채점표'!$L$2,'기초데이타(작성필히)'!$A$5:$P$19,9),18,50)</f>
        <v xml:space="preserve">  스마트문화앱UX설계</v>
      </c>
      <c r="D5" s="412"/>
      <c r="E5" s="412"/>
      <c r="F5" s="412"/>
      <c r="G5" s="413"/>
      <c r="H5" s="412"/>
      <c r="I5" s="412"/>
      <c r="J5" s="412"/>
      <c r="K5" s="414"/>
      <c r="L5" s="416"/>
    </row>
    <row r="6" spans="1:13" ht="18" customHeight="1" x14ac:dyDescent="0.3">
      <c r="A6" s="412" t="s">
        <v>79</v>
      </c>
      <c r="B6" s="412"/>
      <c r="C6" s="413" t="str">
        <f>'전체 훈련생 평가 채점표'!B9</f>
        <v>강민재</v>
      </c>
      <c r="D6" s="413" t="s">
        <v>21</v>
      </c>
      <c r="E6" s="418" t="str">
        <f>VLOOKUP('전체 훈련생 평가 채점표'!$L$2,'기초데이타(작성필히)'!$A$5:$P$19,10)</f>
        <v>21.11.11~21.11.24</v>
      </c>
      <c r="F6" s="419"/>
      <c r="G6" s="420"/>
      <c r="H6" s="60" t="s">
        <v>80</v>
      </c>
      <c r="I6" s="61" t="s">
        <v>22</v>
      </c>
      <c r="J6" s="424" t="s">
        <v>81</v>
      </c>
      <c r="K6" s="425"/>
      <c r="L6" s="426"/>
    </row>
    <row r="7" spans="1:13" ht="18" customHeight="1" x14ac:dyDescent="0.3">
      <c r="A7" s="319"/>
      <c r="B7" s="319"/>
      <c r="C7" s="417"/>
      <c r="D7" s="417"/>
      <c r="E7" s="421"/>
      <c r="F7" s="422"/>
      <c r="G7" s="423"/>
      <c r="H7" s="62" t="s">
        <v>113</v>
      </c>
      <c r="I7" s="62">
        <f>VLOOKUP('전체 훈련생 평가 채점표'!$L$2,'기초데이타(작성필히)'!$A$5:$P$19,11)</f>
        <v>70</v>
      </c>
      <c r="J7" s="314" t="s">
        <v>113</v>
      </c>
      <c r="K7" s="314"/>
      <c r="L7" s="427"/>
    </row>
    <row r="8" spans="1:13" ht="18" customHeight="1" x14ac:dyDescent="0.3"/>
    <row r="9" spans="1:13" ht="18" customHeight="1" x14ac:dyDescent="0.3">
      <c r="A9" s="428" t="s">
        <v>82</v>
      </c>
      <c r="B9" s="429"/>
      <c r="C9" s="429"/>
      <c r="D9" s="431" t="s">
        <v>83</v>
      </c>
      <c r="E9" s="431"/>
      <c r="F9" s="431"/>
      <c r="G9" s="433" t="s">
        <v>84</v>
      </c>
      <c r="H9" s="434"/>
      <c r="I9" s="434"/>
      <c r="J9" s="434"/>
      <c r="K9" s="434"/>
      <c r="L9" s="435"/>
    </row>
    <row r="10" spans="1:13" ht="18" customHeight="1" x14ac:dyDescent="0.3">
      <c r="A10" s="430"/>
      <c r="B10" s="430"/>
      <c r="C10" s="430"/>
      <c r="D10" s="432"/>
      <c r="E10" s="432"/>
      <c r="F10" s="432"/>
      <c r="G10" s="436"/>
      <c r="H10" s="437"/>
      <c r="I10" s="437"/>
      <c r="J10" s="437"/>
      <c r="K10" s="437"/>
      <c r="L10" s="438"/>
    </row>
    <row r="11" spans="1:13" ht="18" customHeight="1" x14ac:dyDescent="0.3">
      <c r="A11" s="383" t="str">
        <f>$C6</f>
        <v>강민재</v>
      </c>
      <c r="B11" s="439"/>
      <c r="C11" s="439"/>
      <c r="D11" s="441" t="str">
        <f>$H4</f>
        <v>이창훈</v>
      </c>
      <c r="E11" s="443" t="s">
        <v>25</v>
      </c>
      <c r="F11" s="444"/>
      <c r="G11" s="382" t="s">
        <v>85</v>
      </c>
      <c r="H11" s="447">
        <f>VLOOKUP('전체 훈련생 평가 채점표'!$L$2,'기초데이타(작성필히)'!$A$5:$P$19,13)</f>
        <v>44524</v>
      </c>
      <c r="I11" s="448"/>
      <c r="J11" s="448"/>
      <c r="K11" s="449"/>
      <c r="L11" s="391" t="s">
        <v>86</v>
      </c>
    </row>
    <row r="12" spans="1:13" ht="18" customHeight="1" x14ac:dyDescent="0.3">
      <c r="A12" s="440"/>
      <c r="B12" s="440"/>
      <c r="C12" s="440"/>
      <c r="D12" s="442"/>
      <c r="E12" s="445"/>
      <c r="F12" s="446"/>
      <c r="G12" s="384"/>
      <c r="H12" s="450"/>
      <c r="I12" s="451"/>
      <c r="J12" s="451"/>
      <c r="K12" s="452"/>
      <c r="L12" s="392"/>
    </row>
    <row r="13" spans="1:13" ht="18" customHeight="1" x14ac:dyDescent="0.3">
      <c r="A13" s="380" t="s">
        <v>87</v>
      </c>
      <c r="B13" s="380"/>
      <c r="C13" s="380"/>
      <c r="D13" s="382" t="str">
        <f>$C4</f>
        <v>[0803020911_18v3]</v>
      </c>
      <c r="E13" s="382"/>
      <c r="F13" s="382"/>
      <c r="G13" s="382" t="s">
        <v>88</v>
      </c>
      <c r="H13" s="385"/>
      <c r="I13" s="386"/>
      <c r="J13" s="386"/>
      <c r="K13" s="387"/>
      <c r="L13" s="391" t="s">
        <v>86</v>
      </c>
    </row>
    <row r="14" spans="1:13" ht="18" customHeight="1" x14ac:dyDescent="0.3">
      <c r="A14" s="381"/>
      <c r="B14" s="381"/>
      <c r="C14" s="381"/>
      <c r="D14" s="383"/>
      <c r="E14" s="383"/>
      <c r="F14" s="383"/>
      <c r="G14" s="384"/>
      <c r="H14" s="388"/>
      <c r="I14" s="389"/>
      <c r="J14" s="389"/>
      <c r="K14" s="390"/>
      <c r="L14" s="392"/>
    </row>
    <row r="15" spans="1:13" ht="18" customHeight="1" x14ac:dyDescent="0.3">
      <c r="A15" s="393" t="str">
        <f>VLOOKUP('전체 훈련생 평가 채점표'!$L$2,'기초데이타(작성필히)'!$A$5:$P$19,7)</f>
        <v>스타일가이드제작 및 시안디자인 제작2</v>
      </c>
      <c r="B15" s="393"/>
      <c r="C15" s="393"/>
      <c r="D15" s="383" t="str">
        <f>$C5</f>
        <v xml:space="preserve">  스마트문화앱UX설계</v>
      </c>
      <c r="E15" s="383"/>
      <c r="F15" s="383"/>
      <c r="G15" s="382" t="s">
        <v>89</v>
      </c>
      <c r="H15" s="385"/>
      <c r="I15" s="386"/>
      <c r="J15" s="386"/>
      <c r="K15" s="387"/>
      <c r="L15" s="391" t="s">
        <v>86</v>
      </c>
    </row>
    <row r="16" spans="1:13" ht="18" customHeight="1" x14ac:dyDescent="0.3">
      <c r="A16" s="394"/>
      <c r="B16" s="394"/>
      <c r="C16" s="394"/>
      <c r="D16" s="384"/>
      <c r="E16" s="384"/>
      <c r="F16" s="384"/>
      <c r="G16" s="384"/>
      <c r="H16" s="388"/>
      <c r="I16" s="389"/>
      <c r="J16" s="389"/>
      <c r="K16" s="390"/>
      <c r="L16" s="392"/>
    </row>
    <row r="17" spans="1:12" ht="18" customHeight="1" x14ac:dyDescent="0.3">
      <c r="A17" s="395" t="s">
        <v>90</v>
      </c>
      <c r="B17" s="396"/>
      <c r="C17" s="396"/>
      <c r="D17" s="396"/>
      <c r="E17" s="396"/>
      <c r="F17" s="397"/>
      <c r="G17" s="398" t="s">
        <v>91</v>
      </c>
      <c r="H17" s="399"/>
      <c r="I17" s="399"/>
      <c r="J17" s="399"/>
      <c r="K17" s="399"/>
      <c r="L17" s="400"/>
    </row>
    <row r="18" spans="1:12" ht="18" customHeight="1" x14ac:dyDescent="0.3">
      <c r="A18" s="395"/>
      <c r="B18" s="396"/>
      <c r="C18" s="396"/>
      <c r="D18" s="396"/>
      <c r="E18" s="396"/>
      <c r="F18" s="397"/>
      <c r="G18" s="401"/>
      <c r="H18" s="402"/>
      <c r="I18" s="402"/>
      <c r="J18" s="402"/>
      <c r="K18" s="402"/>
      <c r="L18" s="403"/>
    </row>
    <row r="19" spans="1:12" ht="18" customHeight="1" x14ac:dyDescent="0.3">
      <c r="A19" s="341" t="s">
        <v>126</v>
      </c>
      <c r="B19" s="342"/>
      <c r="C19" s="342"/>
      <c r="D19" s="342"/>
      <c r="E19" s="342"/>
      <c r="F19" s="343"/>
      <c r="G19" s="404" t="s">
        <v>92</v>
      </c>
      <c r="H19" s="406" t="s">
        <v>93</v>
      </c>
      <c r="I19" s="407"/>
      <c r="J19" s="407"/>
      <c r="K19" s="407"/>
      <c r="L19" s="408"/>
    </row>
    <row r="20" spans="1:12" ht="18" customHeight="1" x14ac:dyDescent="0.3">
      <c r="A20" s="341"/>
      <c r="B20" s="342"/>
      <c r="C20" s="342"/>
      <c r="D20" s="342"/>
      <c r="E20" s="342"/>
      <c r="F20" s="343"/>
      <c r="G20" s="405"/>
      <c r="H20" s="409"/>
      <c r="I20" s="410"/>
      <c r="J20" s="410"/>
      <c r="K20" s="410"/>
      <c r="L20" s="411"/>
    </row>
    <row r="21" spans="1:12" ht="18" customHeight="1" x14ac:dyDescent="0.3">
      <c r="A21" s="341"/>
      <c r="B21" s="342"/>
      <c r="C21" s="342"/>
      <c r="D21" s="342"/>
      <c r="E21" s="342"/>
      <c r="F21" s="343"/>
      <c r="G21" s="323" t="str">
        <f>IF($J39&gt;=90,"○","")</f>
        <v/>
      </c>
      <c r="H21" s="326" t="s">
        <v>94</v>
      </c>
      <c r="I21" s="327"/>
      <c r="J21" s="327"/>
      <c r="K21" s="327"/>
      <c r="L21" s="328"/>
    </row>
    <row r="22" spans="1:12" ht="18" customHeight="1" x14ac:dyDescent="0.3">
      <c r="A22" s="341"/>
      <c r="B22" s="342"/>
      <c r="C22" s="342"/>
      <c r="D22" s="342"/>
      <c r="E22" s="342"/>
      <c r="F22" s="343"/>
      <c r="G22" s="324"/>
      <c r="H22" s="329"/>
      <c r="I22" s="330"/>
      <c r="J22" s="330"/>
      <c r="K22" s="330"/>
      <c r="L22" s="331"/>
    </row>
    <row r="23" spans="1:12" ht="18" customHeight="1" x14ac:dyDescent="0.3">
      <c r="A23" s="341"/>
      <c r="B23" s="342"/>
      <c r="C23" s="342"/>
      <c r="D23" s="342"/>
      <c r="E23" s="342"/>
      <c r="F23" s="343"/>
      <c r="G23" s="325"/>
      <c r="H23" s="332"/>
      <c r="I23" s="333"/>
      <c r="J23" s="333"/>
      <c r="K23" s="333"/>
      <c r="L23" s="334"/>
    </row>
    <row r="24" spans="1:12" ht="18" customHeight="1" x14ac:dyDescent="0.3">
      <c r="A24" s="341"/>
      <c r="B24" s="342"/>
      <c r="C24" s="342"/>
      <c r="D24" s="342"/>
      <c r="E24" s="342"/>
      <c r="F24" s="343"/>
      <c r="G24" s="323" t="str">
        <f>IF(AND($J39&lt;=89.9,$J39&gt;=80),"○","")</f>
        <v>○</v>
      </c>
      <c r="H24" s="326" t="s">
        <v>95</v>
      </c>
      <c r="I24" s="327"/>
      <c r="J24" s="327"/>
      <c r="K24" s="327"/>
      <c r="L24" s="328"/>
    </row>
    <row r="25" spans="1:12" ht="18" customHeight="1" x14ac:dyDescent="0.3">
      <c r="A25" s="341"/>
      <c r="B25" s="342"/>
      <c r="C25" s="342"/>
      <c r="D25" s="342"/>
      <c r="E25" s="342"/>
      <c r="F25" s="343"/>
      <c r="G25" s="324"/>
      <c r="H25" s="329"/>
      <c r="I25" s="330"/>
      <c r="J25" s="330"/>
      <c r="K25" s="330"/>
      <c r="L25" s="331"/>
    </row>
    <row r="26" spans="1:12" ht="18" customHeight="1" x14ac:dyDescent="0.3">
      <c r="A26" s="341"/>
      <c r="B26" s="342"/>
      <c r="C26" s="342"/>
      <c r="D26" s="342"/>
      <c r="E26" s="342"/>
      <c r="F26" s="343"/>
      <c r="G26" s="325"/>
      <c r="H26" s="332"/>
      <c r="I26" s="333"/>
      <c r="J26" s="333"/>
      <c r="K26" s="333"/>
      <c r="L26" s="334"/>
    </row>
    <row r="27" spans="1:12" ht="18" customHeight="1" x14ac:dyDescent="0.3">
      <c r="A27" s="341"/>
      <c r="B27" s="342"/>
      <c r="C27" s="342"/>
      <c r="D27" s="342"/>
      <c r="E27" s="342"/>
      <c r="F27" s="343"/>
      <c r="G27" s="323" t="str">
        <f>IF(AND($J39&lt;=79.9,$J39&gt;=70),"○","")</f>
        <v/>
      </c>
      <c r="H27" s="326" t="s">
        <v>96</v>
      </c>
      <c r="I27" s="327"/>
      <c r="J27" s="327"/>
      <c r="K27" s="327"/>
      <c r="L27" s="328"/>
    </row>
    <row r="28" spans="1:12" ht="18" customHeight="1" x14ac:dyDescent="0.3">
      <c r="A28" s="341"/>
      <c r="B28" s="342"/>
      <c r="C28" s="342"/>
      <c r="D28" s="342"/>
      <c r="E28" s="342"/>
      <c r="F28" s="343"/>
      <c r="G28" s="324"/>
      <c r="H28" s="329"/>
      <c r="I28" s="330"/>
      <c r="J28" s="330"/>
      <c r="K28" s="330"/>
      <c r="L28" s="331"/>
    </row>
    <row r="29" spans="1:12" ht="18" customHeight="1" x14ac:dyDescent="0.3">
      <c r="A29" s="344" t="str">
        <f>"- "&amp;'전체 훈련생 평가 채점표'!$G$8</f>
        <v>- 0</v>
      </c>
      <c r="B29" s="345"/>
      <c r="C29" s="345"/>
      <c r="D29" s="345"/>
      <c r="E29" s="345"/>
      <c r="F29" s="346"/>
      <c r="G29" s="325"/>
      <c r="H29" s="332"/>
      <c r="I29" s="333"/>
      <c r="J29" s="333"/>
      <c r="K29" s="333"/>
      <c r="L29" s="334"/>
    </row>
    <row r="30" spans="1:12" ht="18" customHeight="1" x14ac:dyDescent="0.3">
      <c r="A30" s="344" t="str">
        <f>"- "&amp;'전체 훈련생 평가 채점표'!$F$8</f>
        <v>- 포트폴리오</v>
      </c>
      <c r="B30" s="345"/>
      <c r="C30" s="345"/>
      <c r="D30" s="345"/>
      <c r="E30" s="345"/>
      <c r="F30" s="346"/>
      <c r="G30" s="323" t="str">
        <f>IF(AND($J39&lt;=69.9,$J39&gt;=60),"○","")</f>
        <v/>
      </c>
      <c r="H30" s="326" t="s">
        <v>97</v>
      </c>
      <c r="I30" s="327"/>
      <c r="J30" s="327"/>
      <c r="K30" s="327"/>
      <c r="L30" s="328"/>
    </row>
    <row r="31" spans="1:12" ht="18" customHeight="1" x14ac:dyDescent="0.3">
      <c r="A31" s="347"/>
      <c r="B31" s="348"/>
      <c r="C31" s="348"/>
      <c r="D31" s="348"/>
      <c r="E31" s="348"/>
      <c r="F31" s="349"/>
      <c r="G31" s="324"/>
      <c r="H31" s="329"/>
      <c r="I31" s="330"/>
      <c r="J31" s="330"/>
      <c r="K31" s="330"/>
      <c r="L31" s="331"/>
    </row>
    <row r="32" spans="1:12" ht="18" customHeight="1" x14ac:dyDescent="0.3">
      <c r="A32" s="347"/>
      <c r="B32" s="348"/>
      <c r="C32" s="348"/>
      <c r="D32" s="348"/>
      <c r="E32" s="348"/>
      <c r="F32" s="349"/>
      <c r="G32" s="325"/>
      <c r="H32" s="332"/>
      <c r="I32" s="333"/>
      <c r="J32" s="333"/>
      <c r="K32" s="333"/>
      <c r="L32" s="334"/>
    </row>
    <row r="33" spans="1:12" ht="18" customHeight="1" x14ac:dyDescent="0.3">
      <c r="A33" s="347"/>
      <c r="B33" s="348"/>
      <c r="C33" s="348"/>
      <c r="D33" s="348"/>
      <c r="E33" s="348"/>
      <c r="F33" s="349"/>
      <c r="G33" s="323" t="str">
        <f>IF($J39&lt;=59.9,"○","")</f>
        <v/>
      </c>
      <c r="H33" s="326" t="s">
        <v>98</v>
      </c>
      <c r="I33" s="327"/>
      <c r="J33" s="327"/>
      <c r="K33" s="327"/>
      <c r="L33" s="328"/>
    </row>
    <row r="34" spans="1:12" ht="18" customHeight="1" x14ac:dyDescent="0.3">
      <c r="A34" s="347"/>
      <c r="B34" s="348"/>
      <c r="C34" s="348"/>
      <c r="D34" s="348"/>
      <c r="E34" s="348"/>
      <c r="F34" s="349"/>
      <c r="G34" s="324"/>
      <c r="H34" s="329"/>
      <c r="I34" s="330"/>
      <c r="J34" s="330"/>
      <c r="K34" s="330"/>
      <c r="L34" s="331"/>
    </row>
    <row r="35" spans="1:12" ht="18" customHeight="1" x14ac:dyDescent="0.3">
      <c r="A35" s="347"/>
      <c r="B35" s="348"/>
      <c r="C35" s="348"/>
      <c r="D35" s="348"/>
      <c r="E35" s="348"/>
      <c r="F35" s="349"/>
      <c r="G35" s="325"/>
      <c r="H35" s="332"/>
      <c r="I35" s="333"/>
      <c r="J35" s="333"/>
      <c r="K35" s="333"/>
      <c r="L35" s="334"/>
    </row>
    <row r="36" spans="1:12" ht="18" customHeight="1" x14ac:dyDescent="0.3">
      <c r="A36" s="347"/>
      <c r="B36" s="348"/>
      <c r="C36" s="348"/>
      <c r="D36" s="348"/>
      <c r="E36" s="348"/>
      <c r="F36" s="349"/>
      <c r="G36" s="335" t="s">
        <v>99</v>
      </c>
      <c r="H36" s="336"/>
      <c r="I36" s="336"/>
      <c r="J36" s="336"/>
      <c r="K36" s="336"/>
      <c r="L36" s="337"/>
    </row>
    <row r="37" spans="1:12" ht="18" customHeight="1" x14ac:dyDescent="0.3">
      <c r="A37" s="350"/>
      <c r="B37" s="351"/>
      <c r="C37" s="351"/>
      <c r="D37" s="351"/>
      <c r="E37" s="351"/>
      <c r="F37" s="352"/>
      <c r="G37" s="338"/>
      <c r="H37" s="339"/>
      <c r="I37" s="339"/>
      <c r="J37" s="339"/>
      <c r="K37" s="339"/>
      <c r="L37" s="340"/>
    </row>
    <row r="38" spans="1:12" ht="18" customHeight="1" x14ac:dyDescent="0.3">
      <c r="A38" s="353">
        <f>'전체 훈련생 평가 채점표'!E8</f>
        <v>0</v>
      </c>
      <c r="B38" s="354"/>
      <c r="C38" s="355"/>
      <c r="D38" s="356"/>
      <c r="E38" s="357"/>
      <c r="F38" s="357"/>
      <c r="G38" s="357"/>
      <c r="H38" s="357"/>
      <c r="I38" s="358"/>
      <c r="J38" s="359" t="s">
        <v>9</v>
      </c>
      <c r="K38" s="360"/>
      <c r="L38" s="361"/>
    </row>
    <row r="39" spans="1:12" ht="18" customHeight="1" x14ac:dyDescent="0.3">
      <c r="A39" s="362" t="str">
        <f>'전체 훈련생 평가 채점표'!F8</f>
        <v>포트폴리오</v>
      </c>
      <c r="B39" s="363"/>
      <c r="C39" s="364"/>
      <c r="D39" s="365">
        <f>'전체 훈련생 평가 채점표'!F9</f>
        <v>82.857142857142861</v>
      </c>
      <c r="E39" s="366"/>
      <c r="F39" s="366"/>
      <c r="G39" s="366"/>
      <c r="H39" s="366"/>
      <c r="I39" s="367"/>
      <c r="J39" s="368">
        <f>IFERROR((D38+D39+D40),0)</f>
        <v>82.857142857142861</v>
      </c>
      <c r="K39" s="369"/>
      <c r="L39" s="370"/>
    </row>
    <row r="40" spans="1:12" ht="18" customHeight="1" x14ac:dyDescent="0.3">
      <c r="A40" s="374">
        <f>'전체 훈련생 평가 채점표'!G8</f>
        <v>0</v>
      </c>
      <c r="B40" s="375"/>
      <c r="C40" s="376"/>
      <c r="D40" s="377">
        <f>'전체 훈련생 평가 채점표'!G9</f>
        <v>0</v>
      </c>
      <c r="E40" s="378"/>
      <c r="F40" s="378"/>
      <c r="G40" s="378"/>
      <c r="H40" s="378"/>
      <c r="I40" s="379"/>
      <c r="J40" s="371"/>
      <c r="K40" s="372"/>
      <c r="L40" s="373"/>
    </row>
    <row r="41" spans="1:12" ht="18" customHeight="1" x14ac:dyDescent="0.3">
      <c r="A41" s="303" t="s">
        <v>11</v>
      </c>
      <c r="B41" s="304"/>
      <c r="C41" s="304"/>
      <c r="D41" s="304"/>
      <c r="E41" s="304"/>
      <c r="F41" s="304"/>
      <c r="G41" s="304"/>
      <c r="H41" s="304"/>
      <c r="I41" s="304"/>
      <c r="J41" s="304"/>
      <c r="K41" s="304"/>
      <c r="L41" s="305"/>
    </row>
    <row r="42" spans="1:12" ht="18" customHeight="1" x14ac:dyDescent="0.3">
      <c r="A42" s="306" t="s">
        <v>100</v>
      </c>
      <c r="B42" s="307"/>
      <c r="C42" s="307"/>
      <c r="D42" s="307"/>
      <c r="E42" s="307"/>
      <c r="F42" s="307"/>
      <c r="G42" s="307"/>
      <c r="H42" s="307"/>
      <c r="I42" s="307"/>
      <c r="J42" s="307"/>
      <c r="K42" s="307"/>
      <c r="L42" s="308"/>
    </row>
    <row r="43" spans="1:12" ht="18" customHeight="1" x14ac:dyDescent="0.3">
      <c r="A43" s="309" t="s">
        <v>92</v>
      </c>
      <c r="B43" s="309"/>
      <c r="C43" s="309"/>
      <c r="D43" s="310" t="s">
        <v>101</v>
      </c>
      <c r="E43" s="311"/>
      <c r="F43" s="310" t="s">
        <v>102</v>
      </c>
      <c r="G43" s="312"/>
      <c r="H43" s="311"/>
      <c r="I43" s="313">
        <f>$J39</f>
        <v>82.857142857142861</v>
      </c>
      <c r="J43" s="313"/>
      <c r="K43" s="315" t="s">
        <v>103</v>
      </c>
      <c r="L43" s="316"/>
    </row>
    <row r="44" spans="1:12" ht="18" customHeight="1" x14ac:dyDescent="0.3">
      <c r="A44" s="319" t="s">
        <v>104</v>
      </c>
      <c r="B44" s="319"/>
      <c r="C44" s="319"/>
      <c r="D44" s="320" t="s">
        <v>105</v>
      </c>
      <c r="E44" s="321"/>
      <c r="F44" s="320" t="s">
        <v>106</v>
      </c>
      <c r="G44" s="322"/>
      <c r="H44" s="321"/>
      <c r="I44" s="314"/>
      <c r="J44" s="314"/>
      <c r="K44" s="317"/>
      <c r="L44" s="318"/>
    </row>
    <row r="45" spans="1:12" ht="21.95" customHeight="1" x14ac:dyDescent="0.3">
      <c r="A45" s="453" t="str">
        <f>MID(VLOOKUP('전체 훈련생 평가 채점표'!$L$2,'기초데이타(작성필히)'!$A$5:$P$19,9),18,50)&amp;" 수행평가"</f>
        <v xml:space="preserve">  스마트문화앱UX설계 수행평가</v>
      </c>
      <c r="B45" s="453"/>
      <c r="C45" s="453"/>
      <c r="D45" s="453"/>
      <c r="E45" s="453"/>
      <c r="F45" s="453"/>
      <c r="G45" s="453"/>
      <c r="H45" s="453"/>
      <c r="I45" s="453"/>
      <c r="J45" s="453"/>
      <c r="K45" s="453"/>
      <c r="L45" s="453"/>
    </row>
    <row r="46" spans="1:12" ht="18" customHeight="1" x14ac:dyDescent="0.3">
      <c r="A46" s="309" t="s">
        <v>16</v>
      </c>
      <c r="B46" s="454">
        <f>VLOOKUP('전체 훈련생 평가 채점표'!$L$2,'기초데이타(작성필히)'!$A$5:$P$19,3)</f>
        <v>2021</v>
      </c>
      <c r="C46" s="454" t="s">
        <v>17</v>
      </c>
      <c r="D46" s="455" t="str">
        <f>VLOOKUP('전체 훈련생 평가 채점표'!$L$2,'기초데이타(작성필히)'!$A$5:$P$19,4)</f>
        <v>[디지털디자인]반응형 웹디자인(UIUX) &amp; 웹퍼블리셔 디지털 실무 양성과정 A-5</v>
      </c>
      <c r="E46" s="455"/>
      <c r="F46" s="455"/>
      <c r="G46" s="454" t="s">
        <v>18</v>
      </c>
      <c r="H46" s="359" t="str">
        <f>VLOOKUP('전체 훈련생 평가 채점표'!$L$2,'기초데이타(작성필히)'!$A$5:$P$19,5)</f>
        <v>21.08.31 ~ 22.02.07</v>
      </c>
      <c r="I46" s="360"/>
      <c r="J46" s="361"/>
      <c r="K46" s="460" t="s">
        <v>78</v>
      </c>
      <c r="L46" s="309" t="str">
        <f>VLOOKUP('전체 훈련생 평가 채점표'!$L$2,'기초데이타(작성필히)'!$A$5:$P$19,6)</f>
        <v>760H</v>
      </c>
    </row>
    <row r="47" spans="1:12" ht="18" customHeight="1" x14ac:dyDescent="0.3">
      <c r="A47" s="412"/>
      <c r="B47" s="413"/>
      <c r="C47" s="413"/>
      <c r="D47" s="456"/>
      <c r="E47" s="456"/>
      <c r="F47" s="456"/>
      <c r="G47" s="413"/>
      <c r="H47" s="457"/>
      <c r="I47" s="458"/>
      <c r="J47" s="459"/>
      <c r="K47" s="461"/>
      <c r="L47" s="412"/>
    </row>
    <row r="48" spans="1:12" ht="18" customHeight="1" x14ac:dyDescent="0.3">
      <c r="A48" s="412" t="s">
        <v>23</v>
      </c>
      <c r="B48" s="412"/>
      <c r="C48" s="412" t="str">
        <f>LEFT(VLOOKUP('전체 훈련생 평가 채점표'!$L$2,'기초데이타(작성필히)'!$A$5:$P$19,9),17)</f>
        <v>[0803020911_18v3]</v>
      </c>
      <c r="D48" s="412"/>
      <c r="E48" s="412"/>
      <c r="F48" s="412"/>
      <c r="G48" s="413" t="s">
        <v>24</v>
      </c>
      <c r="H48" s="412" t="str">
        <f>VLOOKUP('전체 훈련생 평가 채점표'!$L$2,'기초데이타(작성필히)'!$A$5:$P$19,12)</f>
        <v>이창훈</v>
      </c>
      <c r="I48" s="412"/>
      <c r="J48" s="412"/>
      <c r="K48" s="414"/>
      <c r="L48" s="415" t="s">
        <v>25</v>
      </c>
    </row>
    <row r="49" spans="1:12" ht="18" customHeight="1" x14ac:dyDescent="0.3">
      <c r="A49" s="412"/>
      <c r="B49" s="412"/>
      <c r="C49" s="412" t="str">
        <f>MID(VLOOKUP('전체 훈련생 평가 채점표'!$L$2,'기초데이타(작성필히)'!$A$5:$P$19,9),18,50)</f>
        <v xml:space="preserve">  스마트문화앱UX설계</v>
      </c>
      <c r="D49" s="412"/>
      <c r="E49" s="412"/>
      <c r="F49" s="412"/>
      <c r="G49" s="413"/>
      <c r="H49" s="412"/>
      <c r="I49" s="412"/>
      <c r="J49" s="412"/>
      <c r="K49" s="414"/>
      <c r="L49" s="416"/>
    </row>
    <row r="50" spans="1:12" ht="18" customHeight="1" x14ac:dyDescent="0.3">
      <c r="A50" s="412" t="s">
        <v>79</v>
      </c>
      <c r="B50" s="412"/>
      <c r="C50" s="413" t="str">
        <f>'전체 훈련생 평가 채점표'!B10</f>
        <v>권송이</v>
      </c>
      <c r="D50" s="413" t="s">
        <v>21</v>
      </c>
      <c r="E50" s="418" t="str">
        <f>VLOOKUP('전체 훈련생 평가 채점표'!$L$2,'기초데이타(작성필히)'!$A$5:$P$19,10)</f>
        <v>21.11.11~21.11.24</v>
      </c>
      <c r="F50" s="419"/>
      <c r="G50" s="420"/>
      <c r="H50" s="60" t="s">
        <v>80</v>
      </c>
      <c r="I50" s="61" t="s">
        <v>22</v>
      </c>
      <c r="J50" s="424" t="s">
        <v>81</v>
      </c>
      <c r="K50" s="425"/>
      <c r="L50" s="426"/>
    </row>
    <row r="51" spans="1:12" ht="18" customHeight="1" x14ac:dyDescent="0.3">
      <c r="A51" s="319"/>
      <c r="B51" s="319"/>
      <c r="C51" s="417"/>
      <c r="D51" s="417"/>
      <c r="E51" s="421"/>
      <c r="F51" s="422"/>
      <c r="G51" s="423"/>
      <c r="H51" s="62" t="s">
        <v>113</v>
      </c>
      <c r="I51" s="62">
        <f>VLOOKUP('전체 훈련생 평가 채점표'!$L$2,'기초데이타(작성필히)'!$A$5:$P$19,11)</f>
        <v>70</v>
      </c>
      <c r="J51" s="314" t="s">
        <v>113</v>
      </c>
      <c r="K51" s="314"/>
      <c r="L51" s="427"/>
    </row>
    <row r="52" spans="1:12" ht="18" customHeight="1" x14ac:dyDescent="0.3"/>
    <row r="53" spans="1:12" ht="18" customHeight="1" x14ac:dyDescent="0.3">
      <c r="A53" s="428" t="s">
        <v>82</v>
      </c>
      <c r="B53" s="429"/>
      <c r="C53" s="429"/>
      <c r="D53" s="431" t="s">
        <v>83</v>
      </c>
      <c r="E53" s="431"/>
      <c r="F53" s="431"/>
      <c r="G53" s="433" t="s">
        <v>84</v>
      </c>
      <c r="H53" s="434"/>
      <c r="I53" s="434"/>
      <c r="J53" s="434"/>
      <c r="K53" s="434"/>
      <c r="L53" s="435"/>
    </row>
    <row r="54" spans="1:12" ht="18" customHeight="1" x14ac:dyDescent="0.3">
      <c r="A54" s="430"/>
      <c r="B54" s="430"/>
      <c r="C54" s="430"/>
      <c r="D54" s="432"/>
      <c r="E54" s="432"/>
      <c r="F54" s="432"/>
      <c r="G54" s="436"/>
      <c r="H54" s="437"/>
      <c r="I54" s="437"/>
      <c r="J54" s="437"/>
      <c r="K54" s="437"/>
      <c r="L54" s="438"/>
    </row>
    <row r="55" spans="1:12" ht="18" customHeight="1" x14ac:dyDescent="0.3">
      <c r="A55" s="383" t="str">
        <f>$C50</f>
        <v>권송이</v>
      </c>
      <c r="B55" s="439"/>
      <c r="C55" s="439"/>
      <c r="D55" s="441" t="str">
        <f>$H48</f>
        <v>이창훈</v>
      </c>
      <c r="E55" s="443" t="s">
        <v>25</v>
      </c>
      <c r="F55" s="444"/>
      <c r="G55" s="382" t="s">
        <v>85</v>
      </c>
      <c r="H55" s="447">
        <f>VLOOKUP('전체 훈련생 평가 채점표'!$L$2,'기초데이타(작성필히)'!$A$5:$P$19,13)</f>
        <v>44524</v>
      </c>
      <c r="I55" s="448"/>
      <c r="J55" s="448"/>
      <c r="K55" s="449"/>
      <c r="L55" s="391" t="s">
        <v>86</v>
      </c>
    </row>
    <row r="56" spans="1:12" ht="18" customHeight="1" x14ac:dyDescent="0.3">
      <c r="A56" s="440"/>
      <c r="B56" s="440"/>
      <c r="C56" s="440"/>
      <c r="D56" s="442"/>
      <c r="E56" s="445"/>
      <c r="F56" s="446"/>
      <c r="G56" s="384"/>
      <c r="H56" s="450"/>
      <c r="I56" s="451"/>
      <c r="J56" s="451"/>
      <c r="K56" s="452"/>
      <c r="L56" s="392"/>
    </row>
    <row r="57" spans="1:12" ht="18" customHeight="1" x14ac:dyDescent="0.3">
      <c r="A57" s="380" t="s">
        <v>87</v>
      </c>
      <c r="B57" s="380"/>
      <c r="C57" s="380"/>
      <c r="D57" s="382" t="str">
        <f>$C48</f>
        <v>[0803020911_18v3]</v>
      </c>
      <c r="E57" s="382"/>
      <c r="F57" s="382"/>
      <c r="G57" s="382" t="s">
        <v>88</v>
      </c>
      <c r="H57" s="385"/>
      <c r="I57" s="386"/>
      <c r="J57" s="386"/>
      <c r="K57" s="387"/>
      <c r="L57" s="391" t="s">
        <v>86</v>
      </c>
    </row>
    <row r="58" spans="1:12" ht="18" customHeight="1" x14ac:dyDescent="0.3">
      <c r="A58" s="381"/>
      <c r="B58" s="381"/>
      <c r="C58" s="381"/>
      <c r="D58" s="383"/>
      <c r="E58" s="383"/>
      <c r="F58" s="383"/>
      <c r="G58" s="384"/>
      <c r="H58" s="388"/>
      <c r="I58" s="389"/>
      <c r="J58" s="389"/>
      <c r="K58" s="390"/>
      <c r="L58" s="392"/>
    </row>
    <row r="59" spans="1:12" ht="18" customHeight="1" x14ac:dyDescent="0.3">
      <c r="A59" s="393" t="str">
        <f>VLOOKUP('전체 훈련생 평가 채점표'!$L$2,'기초데이타(작성필히)'!$A$5:$P$19,7)</f>
        <v>스타일가이드제작 및 시안디자인 제작2</v>
      </c>
      <c r="B59" s="393"/>
      <c r="C59" s="393"/>
      <c r="D59" s="383" t="str">
        <f>$C49</f>
        <v xml:space="preserve">  스마트문화앱UX설계</v>
      </c>
      <c r="E59" s="383"/>
      <c r="F59" s="383"/>
      <c r="G59" s="382" t="s">
        <v>89</v>
      </c>
      <c r="H59" s="385"/>
      <c r="I59" s="386"/>
      <c r="J59" s="386"/>
      <c r="K59" s="387"/>
      <c r="L59" s="391" t="s">
        <v>86</v>
      </c>
    </row>
    <row r="60" spans="1:12" ht="18" customHeight="1" x14ac:dyDescent="0.3">
      <c r="A60" s="394"/>
      <c r="B60" s="394"/>
      <c r="C60" s="394"/>
      <c r="D60" s="384"/>
      <c r="E60" s="384"/>
      <c r="F60" s="384"/>
      <c r="G60" s="384"/>
      <c r="H60" s="388"/>
      <c r="I60" s="389"/>
      <c r="J60" s="389"/>
      <c r="K60" s="390"/>
      <c r="L60" s="392"/>
    </row>
    <row r="61" spans="1:12" ht="18" customHeight="1" x14ac:dyDescent="0.3">
      <c r="A61" s="395" t="s">
        <v>90</v>
      </c>
      <c r="B61" s="396"/>
      <c r="C61" s="396"/>
      <c r="D61" s="396"/>
      <c r="E61" s="396"/>
      <c r="F61" s="397"/>
      <c r="G61" s="398" t="s">
        <v>91</v>
      </c>
      <c r="H61" s="399"/>
      <c r="I61" s="399"/>
      <c r="J61" s="399"/>
      <c r="K61" s="399"/>
      <c r="L61" s="400"/>
    </row>
    <row r="62" spans="1:12" ht="18" customHeight="1" x14ac:dyDescent="0.3">
      <c r="A62" s="395"/>
      <c r="B62" s="396"/>
      <c r="C62" s="396"/>
      <c r="D62" s="396"/>
      <c r="E62" s="396"/>
      <c r="F62" s="397"/>
      <c r="G62" s="401"/>
      <c r="H62" s="402"/>
      <c r="I62" s="402"/>
      <c r="J62" s="402"/>
      <c r="K62" s="402"/>
      <c r="L62" s="403"/>
    </row>
    <row r="63" spans="1:12" ht="18" customHeight="1" x14ac:dyDescent="0.3">
      <c r="A63" s="341" t="s">
        <v>126</v>
      </c>
      <c r="B63" s="342"/>
      <c r="C63" s="342"/>
      <c r="D63" s="342"/>
      <c r="E63" s="342"/>
      <c r="F63" s="343"/>
      <c r="G63" s="404" t="s">
        <v>92</v>
      </c>
      <c r="H63" s="406" t="s">
        <v>93</v>
      </c>
      <c r="I63" s="407"/>
      <c r="J63" s="407"/>
      <c r="K63" s="407"/>
      <c r="L63" s="408"/>
    </row>
    <row r="64" spans="1:12" ht="18" customHeight="1" x14ac:dyDescent="0.3">
      <c r="A64" s="341"/>
      <c r="B64" s="342"/>
      <c r="C64" s="342"/>
      <c r="D64" s="342"/>
      <c r="E64" s="342"/>
      <c r="F64" s="343"/>
      <c r="G64" s="405"/>
      <c r="H64" s="409"/>
      <c r="I64" s="410"/>
      <c r="J64" s="410"/>
      <c r="K64" s="410"/>
      <c r="L64" s="411"/>
    </row>
    <row r="65" spans="1:12" ht="18" customHeight="1" x14ac:dyDescent="0.3">
      <c r="A65" s="341"/>
      <c r="B65" s="342"/>
      <c r="C65" s="342"/>
      <c r="D65" s="342"/>
      <c r="E65" s="342"/>
      <c r="F65" s="343"/>
      <c r="G65" s="323" t="str">
        <f>IF($J83&gt;=90,"○","")</f>
        <v/>
      </c>
      <c r="H65" s="326" t="s">
        <v>94</v>
      </c>
      <c r="I65" s="327"/>
      <c r="J65" s="327"/>
      <c r="K65" s="327"/>
      <c r="L65" s="328"/>
    </row>
    <row r="66" spans="1:12" ht="18" customHeight="1" x14ac:dyDescent="0.3">
      <c r="A66" s="341"/>
      <c r="B66" s="342"/>
      <c r="C66" s="342"/>
      <c r="D66" s="342"/>
      <c r="E66" s="342"/>
      <c r="F66" s="343"/>
      <c r="G66" s="324"/>
      <c r="H66" s="329"/>
      <c r="I66" s="330"/>
      <c r="J66" s="330"/>
      <c r="K66" s="330"/>
      <c r="L66" s="331"/>
    </row>
    <row r="67" spans="1:12" ht="18" customHeight="1" x14ac:dyDescent="0.3">
      <c r="A67" s="341"/>
      <c r="B67" s="342"/>
      <c r="C67" s="342"/>
      <c r="D67" s="342"/>
      <c r="E67" s="342"/>
      <c r="F67" s="343"/>
      <c r="G67" s="325"/>
      <c r="H67" s="332"/>
      <c r="I67" s="333"/>
      <c r="J67" s="333"/>
      <c r="K67" s="333"/>
      <c r="L67" s="334"/>
    </row>
    <row r="68" spans="1:12" ht="18" customHeight="1" x14ac:dyDescent="0.3">
      <c r="A68" s="341"/>
      <c r="B68" s="342"/>
      <c r="C68" s="342"/>
      <c r="D68" s="342"/>
      <c r="E68" s="342"/>
      <c r="F68" s="343"/>
      <c r="G68" s="323" t="str">
        <f>IF(AND($J83&lt;=89.9,$J83&gt;=80),"○","")</f>
        <v>○</v>
      </c>
      <c r="H68" s="326" t="s">
        <v>95</v>
      </c>
      <c r="I68" s="327"/>
      <c r="J68" s="327"/>
      <c r="K68" s="327"/>
      <c r="L68" s="328"/>
    </row>
    <row r="69" spans="1:12" ht="18" customHeight="1" x14ac:dyDescent="0.3">
      <c r="A69" s="341"/>
      <c r="B69" s="342"/>
      <c r="C69" s="342"/>
      <c r="D69" s="342"/>
      <c r="E69" s="342"/>
      <c r="F69" s="343"/>
      <c r="G69" s="324"/>
      <c r="H69" s="329"/>
      <c r="I69" s="330"/>
      <c r="J69" s="330"/>
      <c r="K69" s="330"/>
      <c r="L69" s="331"/>
    </row>
    <row r="70" spans="1:12" ht="18" customHeight="1" x14ac:dyDescent="0.3">
      <c r="A70" s="341"/>
      <c r="B70" s="342"/>
      <c r="C70" s="342"/>
      <c r="D70" s="342"/>
      <c r="E70" s="342"/>
      <c r="F70" s="343"/>
      <c r="G70" s="325"/>
      <c r="H70" s="332"/>
      <c r="I70" s="333"/>
      <c r="J70" s="333"/>
      <c r="K70" s="333"/>
      <c r="L70" s="334"/>
    </row>
    <row r="71" spans="1:12" ht="18" customHeight="1" x14ac:dyDescent="0.3">
      <c r="A71" s="341"/>
      <c r="B71" s="342"/>
      <c r="C71" s="342"/>
      <c r="D71" s="342"/>
      <c r="E71" s="342"/>
      <c r="F71" s="343"/>
      <c r="G71" s="323" t="str">
        <f>IF(AND($J83&lt;=79.9,$J83&gt;=70),"○","")</f>
        <v/>
      </c>
      <c r="H71" s="326" t="s">
        <v>96</v>
      </c>
      <c r="I71" s="327"/>
      <c r="J71" s="327"/>
      <c r="K71" s="327"/>
      <c r="L71" s="328"/>
    </row>
    <row r="72" spans="1:12" ht="18" customHeight="1" x14ac:dyDescent="0.3">
      <c r="A72" s="341"/>
      <c r="B72" s="342"/>
      <c r="C72" s="342"/>
      <c r="D72" s="342"/>
      <c r="E72" s="342"/>
      <c r="F72" s="343"/>
      <c r="G72" s="324"/>
      <c r="H72" s="329"/>
      <c r="I72" s="330"/>
      <c r="J72" s="330"/>
      <c r="K72" s="330"/>
      <c r="L72" s="331"/>
    </row>
    <row r="73" spans="1:12" ht="18" customHeight="1" x14ac:dyDescent="0.3">
      <c r="A73" s="344" t="str">
        <f>"- "&amp;'전체 훈련생 평가 채점표'!$G$8</f>
        <v>- 0</v>
      </c>
      <c r="B73" s="345"/>
      <c r="C73" s="345"/>
      <c r="D73" s="345"/>
      <c r="E73" s="345"/>
      <c r="F73" s="346"/>
      <c r="G73" s="325"/>
      <c r="H73" s="332"/>
      <c r="I73" s="333"/>
      <c r="J73" s="333"/>
      <c r="K73" s="333"/>
      <c r="L73" s="334"/>
    </row>
    <row r="74" spans="1:12" ht="18" customHeight="1" x14ac:dyDescent="0.3">
      <c r="A74" s="344" t="str">
        <f>"- "&amp;'전체 훈련생 평가 채점표'!$F$8</f>
        <v>- 포트폴리오</v>
      </c>
      <c r="B74" s="345"/>
      <c r="C74" s="345"/>
      <c r="D74" s="345"/>
      <c r="E74" s="345"/>
      <c r="F74" s="346"/>
      <c r="G74" s="323" t="str">
        <f>IF(AND($J83&lt;=69.9,$J83&gt;=60),"○","")</f>
        <v/>
      </c>
      <c r="H74" s="326" t="s">
        <v>97</v>
      </c>
      <c r="I74" s="327"/>
      <c r="J74" s="327"/>
      <c r="K74" s="327"/>
      <c r="L74" s="328"/>
    </row>
    <row r="75" spans="1:12" ht="18" customHeight="1" x14ac:dyDescent="0.3">
      <c r="A75" s="347"/>
      <c r="B75" s="348"/>
      <c r="C75" s="348"/>
      <c r="D75" s="348"/>
      <c r="E75" s="348"/>
      <c r="F75" s="349"/>
      <c r="G75" s="324"/>
      <c r="H75" s="329"/>
      <c r="I75" s="330"/>
      <c r="J75" s="330"/>
      <c r="K75" s="330"/>
      <c r="L75" s="331"/>
    </row>
    <row r="76" spans="1:12" ht="18" customHeight="1" x14ac:dyDescent="0.3">
      <c r="A76" s="347"/>
      <c r="B76" s="348"/>
      <c r="C76" s="348"/>
      <c r="D76" s="348"/>
      <c r="E76" s="348"/>
      <c r="F76" s="349"/>
      <c r="G76" s="325"/>
      <c r="H76" s="332"/>
      <c r="I76" s="333"/>
      <c r="J76" s="333"/>
      <c r="K76" s="333"/>
      <c r="L76" s="334"/>
    </row>
    <row r="77" spans="1:12" ht="18" customHeight="1" x14ac:dyDescent="0.3">
      <c r="A77" s="347"/>
      <c r="B77" s="348"/>
      <c r="C77" s="348"/>
      <c r="D77" s="348"/>
      <c r="E77" s="348"/>
      <c r="F77" s="349"/>
      <c r="G77" s="323" t="str">
        <f>IF($J83&lt;=59.9,"○","")</f>
        <v/>
      </c>
      <c r="H77" s="326" t="s">
        <v>98</v>
      </c>
      <c r="I77" s="327"/>
      <c r="J77" s="327"/>
      <c r="K77" s="327"/>
      <c r="L77" s="328"/>
    </row>
    <row r="78" spans="1:12" ht="18" customHeight="1" x14ac:dyDescent="0.3">
      <c r="A78" s="347"/>
      <c r="B78" s="348"/>
      <c r="C78" s="348"/>
      <c r="D78" s="348"/>
      <c r="E78" s="348"/>
      <c r="F78" s="349"/>
      <c r="G78" s="324"/>
      <c r="H78" s="329"/>
      <c r="I78" s="330"/>
      <c r="J78" s="330"/>
      <c r="K78" s="330"/>
      <c r="L78" s="331"/>
    </row>
    <row r="79" spans="1:12" ht="18" customHeight="1" x14ac:dyDescent="0.3">
      <c r="A79" s="347"/>
      <c r="B79" s="348"/>
      <c r="C79" s="348"/>
      <c r="D79" s="348"/>
      <c r="E79" s="348"/>
      <c r="F79" s="349"/>
      <c r="G79" s="325"/>
      <c r="H79" s="332"/>
      <c r="I79" s="333"/>
      <c r="J79" s="333"/>
      <c r="K79" s="333"/>
      <c r="L79" s="334"/>
    </row>
    <row r="80" spans="1:12" ht="18" customHeight="1" x14ac:dyDescent="0.3">
      <c r="A80" s="347"/>
      <c r="B80" s="348"/>
      <c r="C80" s="348"/>
      <c r="D80" s="348"/>
      <c r="E80" s="348"/>
      <c r="F80" s="349"/>
      <c r="G80" s="335" t="s">
        <v>99</v>
      </c>
      <c r="H80" s="336"/>
      <c r="I80" s="336"/>
      <c r="J80" s="336"/>
      <c r="K80" s="336"/>
      <c r="L80" s="337"/>
    </row>
    <row r="81" spans="1:12" ht="18" customHeight="1" x14ac:dyDescent="0.3">
      <c r="A81" s="350"/>
      <c r="B81" s="351"/>
      <c r="C81" s="351"/>
      <c r="D81" s="351"/>
      <c r="E81" s="351"/>
      <c r="F81" s="352"/>
      <c r="G81" s="338"/>
      <c r="H81" s="339"/>
      <c r="I81" s="339"/>
      <c r="J81" s="339"/>
      <c r="K81" s="339"/>
      <c r="L81" s="340"/>
    </row>
    <row r="82" spans="1:12" ht="18" customHeight="1" x14ac:dyDescent="0.3">
      <c r="A82" s="353">
        <f>A38</f>
        <v>0</v>
      </c>
      <c r="B82" s="354"/>
      <c r="C82" s="355"/>
      <c r="D82" s="356"/>
      <c r="E82" s="357"/>
      <c r="F82" s="357"/>
      <c r="G82" s="357"/>
      <c r="H82" s="357"/>
      <c r="I82" s="358"/>
      <c r="J82" s="359" t="s">
        <v>9</v>
      </c>
      <c r="K82" s="360"/>
      <c r="L82" s="361"/>
    </row>
    <row r="83" spans="1:12" ht="18" customHeight="1" x14ac:dyDescent="0.3">
      <c r="A83" s="362" t="str">
        <f>A39</f>
        <v>포트폴리오</v>
      </c>
      <c r="B83" s="363"/>
      <c r="C83" s="364"/>
      <c r="D83" s="365">
        <f>'전체 훈련생 평가 채점표'!F10</f>
        <v>87.142857142857139</v>
      </c>
      <c r="E83" s="366"/>
      <c r="F83" s="366"/>
      <c r="G83" s="366"/>
      <c r="H83" s="366"/>
      <c r="I83" s="367"/>
      <c r="J83" s="368">
        <f>IFERROR((D82+D83+D84),0)</f>
        <v>87.142857142857139</v>
      </c>
      <c r="K83" s="369"/>
      <c r="L83" s="370"/>
    </row>
    <row r="84" spans="1:12" ht="18" customHeight="1" x14ac:dyDescent="0.3">
      <c r="A84" s="374">
        <f>A40</f>
        <v>0</v>
      </c>
      <c r="B84" s="375"/>
      <c r="C84" s="376"/>
      <c r="D84" s="377">
        <f>'전체 훈련생 평가 채점표'!G10</f>
        <v>0</v>
      </c>
      <c r="E84" s="378"/>
      <c r="F84" s="378"/>
      <c r="G84" s="378"/>
      <c r="H84" s="378"/>
      <c r="I84" s="379"/>
      <c r="J84" s="371"/>
      <c r="K84" s="372"/>
      <c r="L84" s="373"/>
    </row>
    <row r="85" spans="1:12" ht="18" customHeight="1" x14ac:dyDescent="0.3">
      <c r="A85" s="303" t="s">
        <v>11</v>
      </c>
      <c r="B85" s="304"/>
      <c r="C85" s="304"/>
      <c r="D85" s="304"/>
      <c r="E85" s="304"/>
      <c r="F85" s="304"/>
      <c r="G85" s="304"/>
      <c r="H85" s="304"/>
      <c r="I85" s="304"/>
      <c r="J85" s="304"/>
      <c r="K85" s="304"/>
      <c r="L85" s="305"/>
    </row>
    <row r="86" spans="1:12" ht="18" customHeight="1" x14ac:dyDescent="0.3">
      <c r="A86" s="306" t="s">
        <v>100</v>
      </c>
      <c r="B86" s="307"/>
      <c r="C86" s="307"/>
      <c r="D86" s="307"/>
      <c r="E86" s="307"/>
      <c r="F86" s="307"/>
      <c r="G86" s="307"/>
      <c r="H86" s="307"/>
      <c r="I86" s="307"/>
      <c r="J86" s="307"/>
      <c r="K86" s="307"/>
      <c r="L86" s="308"/>
    </row>
    <row r="87" spans="1:12" ht="18" customHeight="1" x14ac:dyDescent="0.3">
      <c r="A87" s="309" t="s">
        <v>92</v>
      </c>
      <c r="B87" s="309"/>
      <c r="C87" s="309"/>
      <c r="D87" s="310" t="s">
        <v>101</v>
      </c>
      <c r="E87" s="311"/>
      <c r="F87" s="310" t="s">
        <v>102</v>
      </c>
      <c r="G87" s="312"/>
      <c r="H87" s="311"/>
      <c r="I87" s="313">
        <f>$J83</f>
        <v>87.142857142857139</v>
      </c>
      <c r="J87" s="313"/>
      <c r="K87" s="315" t="s">
        <v>103</v>
      </c>
      <c r="L87" s="316"/>
    </row>
    <row r="88" spans="1:12" ht="18" customHeight="1" x14ac:dyDescent="0.3">
      <c r="A88" s="319" t="s">
        <v>104</v>
      </c>
      <c r="B88" s="319"/>
      <c r="C88" s="319"/>
      <c r="D88" s="320" t="s">
        <v>105</v>
      </c>
      <c r="E88" s="321"/>
      <c r="F88" s="320" t="s">
        <v>106</v>
      </c>
      <c r="G88" s="322"/>
      <c r="H88" s="321"/>
      <c r="I88" s="314"/>
      <c r="J88" s="314"/>
      <c r="K88" s="317"/>
      <c r="L88" s="318"/>
    </row>
    <row r="89" spans="1:12" ht="21.95" customHeight="1" x14ac:dyDescent="0.3">
      <c r="A89" s="453" t="str">
        <f>MID(VLOOKUP('전체 훈련생 평가 채점표'!$L$2,'기초데이타(작성필히)'!$A$5:$P$19,9),18,50)&amp;" 수행평가"</f>
        <v xml:space="preserve">  스마트문화앱UX설계 수행평가</v>
      </c>
      <c r="B89" s="453"/>
      <c r="C89" s="453"/>
      <c r="D89" s="453"/>
      <c r="E89" s="453"/>
      <c r="F89" s="453"/>
      <c r="G89" s="453"/>
      <c r="H89" s="453"/>
      <c r="I89" s="453"/>
      <c r="J89" s="453"/>
      <c r="K89" s="453"/>
      <c r="L89" s="453"/>
    </row>
    <row r="90" spans="1:12" ht="18" customHeight="1" x14ac:dyDescent="0.3">
      <c r="A90" s="309" t="s">
        <v>16</v>
      </c>
      <c r="B90" s="454">
        <f>VLOOKUP('전체 훈련생 평가 채점표'!$L$2,'기초데이타(작성필히)'!$A$5:$P$19,3)</f>
        <v>2021</v>
      </c>
      <c r="C90" s="454" t="s">
        <v>17</v>
      </c>
      <c r="D90" s="455" t="str">
        <f>VLOOKUP('전체 훈련생 평가 채점표'!$L$2,'기초데이타(작성필히)'!$A$5:$P$19,4)</f>
        <v>[디지털디자인]반응형 웹디자인(UIUX) &amp; 웹퍼블리셔 디지털 실무 양성과정 A-5</v>
      </c>
      <c r="E90" s="455"/>
      <c r="F90" s="455"/>
      <c r="G90" s="454" t="s">
        <v>18</v>
      </c>
      <c r="H90" s="359" t="str">
        <f>VLOOKUP('전체 훈련생 평가 채점표'!$L$2,'기초데이타(작성필히)'!$A$5:$P$19,5)</f>
        <v>21.08.31 ~ 22.02.07</v>
      </c>
      <c r="I90" s="360"/>
      <c r="J90" s="361"/>
      <c r="K90" s="460" t="s">
        <v>78</v>
      </c>
      <c r="L90" s="309" t="str">
        <f>VLOOKUP('전체 훈련생 평가 채점표'!$L$2,'기초데이타(작성필히)'!$A$5:$P$19,6)</f>
        <v>760H</v>
      </c>
    </row>
    <row r="91" spans="1:12" ht="18" customHeight="1" x14ac:dyDescent="0.3">
      <c r="A91" s="412"/>
      <c r="B91" s="413"/>
      <c r="C91" s="413"/>
      <c r="D91" s="456"/>
      <c r="E91" s="456"/>
      <c r="F91" s="456"/>
      <c r="G91" s="413"/>
      <c r="H91" s="457"/>
      <c r="I91" s="458"/>
      <c r="J91" s="459"/>
      <c r="K91" s="461"/>
      <c r="L91" s="412"/>
    </row>
    <row r="92" spans="1:12" ht="18" customHeight="1" x14ac:dyDescent="0.3">
      <c r="A92" s="412" t="s">
        <v>23</v>
      </c>
      <c r="B92" s="412"/>
      <c r="C92" s="412" t="str">
        <f>LEFT(VLOOKUP('전체 훈련생 평가 채점표'!$L$2,'기초데이타(작성필히)'!$A$5:$P$19,9),17)</f>
        <v>[0803020911_18v3]</v>
      </c>
      <c r="D92" s="412"/>
      <c r="E92" s="412"/>
      <c r="F92" s="412"/>
      <c r="G92" s="413" t="s">
        <v>24</v>
      </c>
      <c r="H92" s="412" t="str">
        <f>VLOOKUP('전체 훈련생 평가 채점표'!$L$2,'기초데이타(작성필히)'!$A$5:$P$19,12)</f>
        <v>이창훈</v>
      </c>
      <c r="I92" s="412"/>
      <c r="J92" s="412"/>
      <c r="K92" s="414"/>
      <c r="L92" s="415" t="s">
        <v>25</v>
      </c>
    </row>
    <row r="93" spans="1:12" ht="18" customHeight="1" x14ac:dyDescent="0.3">
      <c r="A93" s="412"/>
      <c r="B93" s="412"/>
      <c r="C93" s="412" t="str">
        <f>MID(VLOOKUP('전체 훈련생 평가 채점표'!$L$2,'기초데이타(작성필히)'!$A$5:$P$19,9),18,50)</f>
        <v xml:space="preserve">  스마트문화앱UX설계</v>
      </c>
      <c r="D93" s="412"/>
      <c r="E93" s="412"/>
      <c r="F93" s="412"/>
      <c r="G93" s="413"/>
      <c r="H93" s="412"/>
      <c r="I93" s="412"/>
      <c r="J93" s="412"/>
      <c r="K93" s="414"/>
      <c r="L93" s="416"/>
    </row>
    <row r="94" spans="1:12" ht="18" customHeight="1" x14ac:dyDescent="0.3">
      <c r="A94" s="412" t="s">
        <v>79</v>
      </c>
      <c r="B94" s="412"/>
      <c r="C94" s="413" t="str">
        <f>'전체 훈련생 평가 채점표'!B11</f>
        <v>김남연</v>
      </c>
      <c r="D94" s="413" t="s">
        <v>21</v>
      </c>
      <c r="E94" s="418" t="str">
        <f>VLOOKUP('전체 훈련생 평가 채점표'!$L$2,'기초데이타(작성필히)'!$A$5:$P$19,10)</f>
        <v>21.11.11~21.11.24</v>
      </c>
      <c r="F94" s="419"/>
      <c r="G94" s="420"/>
      <c r="H94" s="60" t="s">
        <v>80</v>
      </c>
      <c r="I94" s="61" t="s">
        <v>22</v>
      </c>
      <c r="J94" s="424" t="s">
        <v>81</v>
      </c>
      <c r="K94" s="425"/>
      <c r="L94" s="426"/>
    </row>
    <row r="95" spans="1:12" ht="18" customHeight="1" x14ac:dyDescent="0.3">
      <c r="A95" s="319"/>
      <c r="B95" s="319"/>
      <c r="C95" s="417"/>
      <c r="D95" s="417"/>
      <c r="E95" s="421"/>
      <c r="F95" s="422"/>
      <c r="G95" s="423"/>
      <c r="H95" s="62" t="s">
        <v>113</v>
      </c>
      <c r="I95" s="62">
        <f>VLOOKUP('전체 훈련생 평가 채점표'!$L$2,'기초데이타(작성필히)'!$A$5:$P$19,11)</f>
        <v>70</v>
      </c>
      <c r="J95" s="314" t="s">
        <v>113</v>
      </c>
      <c r="K95" s="314"/>
      <c r="L95" s="427"/>
    </row>
    <row r="96" spans="1:12" ht="18" customHeight="1" x14ac:dyDescent="0.3"/>
    <row r="97" spans="1:12" ht="18" customHeight="1" x14ac:dyDescent="0.3">
      <c r="A97" s="428" t="s">
        <v>82</v>
      </c>
      <c r="B97" s="429"/>
      <c r="C97" s="429"/>
      <c r="D97" s="431" t="s">
        <v>83</v>
      </c>
      <c r="E97" s="431"/>
      <c r="F97" s="431"/>
      <c r="G97" s="433" t="s">
        <v>84</v>
      </c>
      <c r="H97" s="434"/>
      <c r="I97" s="434"/>
      <c r="J97" s="434"/>
      <c r="K97" s="434"/>
      <c r="L97" s="435"/>
    </row>
    <row r="98" spans="1:12" ht="18" customHeight="1" x14ac:dyDescent="0.3">
      <c r="A98" s="430"/>
      <c r="B98" s="430"/>
      <c r="C98" s="430"/>
      <c r="D98" s="432"/>
      <c r="E98" s="432"/>
      <c r="F98" s="432"/>
      <c r="G98" s="436"/>
      <c r="H98" s="437"/>
      <c r="I98" s="437"/>
      <c r="J98" s="437"/>
      <c r="K98" s="437"/>
      <c r="L98" s="438"/>
    </row>
    <row r="99" spans="1:12" ht="18" customHeight="1" x14ac:dyDescent="0.3">
      <c r="A99" s="383" t="str">
        <f>$C94</f>
        <v>김남연</v>
      </c>
      <c r="B99" s="439"/>
      <c r="C99" s="439"/>
      <c r="D99" s="441" t="str">
        <f>$H92</f>
        <v>이창훈</v>
      </c>
      <c r="E99" s="443" t="s">
        <v>25</v>
      </c>
      <c r="F99" s="444"/>
      <c r="G99" s="382" t="s">
        <v>85</v>
      </c>
      <c r="H99" s="447">
        <f>VLOOKUP('전체 훈련생 평가 채점표'!$L$2,'기초데이타(작성필히)'!$A$5:$P$19,13)</f>
        <v>44524</v>
      </c>
      <c r="I99" s="448"/>
      <c r="J99" s="448"/>
      <c r="K99" s="449"/>
      <c r="L99" s="391" t="s">
        <v>86</v>
      </c>
    </row>
    <row r="100" spans="1:12" ht="18" customHeight="1" x14ac:dyDescent="0.3">
      <c r="A100" s="440"/>
      <c r="B100" s="440"/>
      <c r="C100" s="440"/>
      <c r="D100" s="442"/>
      <c r="E100" s="445"/>
      <c r="F100" s="446"/>
      <c r="G100" s="384"/>
      <c r="H100" s="450"/>
      <c r="I100" s="451"/>
      <c r="J100" s="451"/>
      <c r="K100" s="452"/>
      <c r="L100" s="392"/>
    </row>
    <row r="101" spans="1:12" ht="18" customHeight="1" x14ac:dyDescent="0.3">
      <c r="A101" s="380" t="s">
        <v>87</v>
      </c>
      <c r="B101" s="380"/>
      <c r="C101" s="380"/>
      <c r="D101" s="382" t="str">
        <f>$C92</f>
        <v>[0803020911_18v3]</v>
      </c>
      <c r="E101" s="382"/>
      <c r="F101" s="382"/>
      <c r="G101" s="382" t="s">
        <v>88</v>
      </c>
      <c r="H101" s="385"/>
      <c r="I101" s="386"/>
      <c r="J101" s="386"/>
      <c r="K101" s="387"/>
      <c r="L101" s="391" t="s">
        <v>86</v>
      </c>
    </row>
    <row r="102" spans="1:12" ht="18" customHeight="1" x14ac:dyDescent="0.3">
      <c r="A102" s="381"/>
      <c r="B102" s="381"/>
      <c r="C102" s="381"/>
      <c r="D102" s="383"/>
      <c r="E102" s="383"/>
      <c r="F102" s="383"/>
      <c r="G102" s="384"/>
      <c r="H102" s="388"/>
      <c r="I102" s="389"/>
      <c r="J102" s="389"/>
      <c r="K102" s="390"/>
      <c r="L102" s="392"/>
    </row>
    <row r="103" spans="1:12" ht="18" customHeight="1" x14ac:dyDescent="0.3">
      <c r="A103" s="393" t="str">
        <f>VLOOKUP('전체 훈련생 평가 채점표'!$L$2,'기초데이타(작성필히)'!$A$5:$P$19,7)</f>
        <v>스타일가이드제작 및 시안디자인 제작2</v>
      </c>
      <c r="B103" s="393"/>
      <c r="C103" s="393"/>
      <c r="D103" s="383" t="str">
        <f>$C93</f>
        <v xml:space="preserve">  스마트문화앱UX설계</v>
      </c>
      <c r="E103" s="383"/>
      <c r="F103" s="383"/>
      <c r="G103" s="382" t="s">
        <v>89</v>
      </c>
      <c r="H103" s="385"/>
      <c r="I103" s="386"/>
      <c r="J103" s="386"/>
      <c r="K103" s="387"/>
      <c r="L103" s="391" t="s">
        <v>86</v>
      </c>
    </row>
    <row r="104" spans="1:12" ht="18" customHeight="1" x14ac:dyDescent="0.3">
      <c r="A104" s="394"/>
      <c r="B104" s="394"/>
      <c r="C104" s="394"/>
      <c r="D104" s="384"/>
      <c r="E104" s="384"/>
      <c r="F104" s="384"/>
      <c r="G104" s="384"/>
      <c r="H104" s="388"/>
      <c r="I104" s="389"/>
      <c r="J104" s="389"/>
      <c r="K104" s="390"/>
      <c r="L104" s="392"/>
    </row>
    <row r="105" spans="1:12" ht="18" customHeight="1" x14ac:dyDescent="0.3">
      <c r="A105" s="395" t="s">
        <v>90</v>
      </c>
      <c r="B105" s="396"/>
      <c r="C105" s="396"/>
      <c r="D105" s="396"/>
      <c r="E105" s="396"/>
      <c r="F105" s="397"/>
      <c r="G105" s="398" t="s">
        <v>91</v>
      </c>
      <c r="H105" s="399"/>
      <c r="I105" s="399"/>
      <c r="J105" s="399"/>
      <c r="K105" s="399"/>
      <c r="L105" s="400"/>
    </row>
    <row r="106" spans="1:12" ht="18" customHeight="1" x14ac:dyDescent="0.3">
      <c r="A106" s="395"/>
      <c r="B106" s="396"/>
      <c r="C106" s="396"/>
      <c r="D106" s="396"/>
      <c r="E106" s="396"/>
      <c r="F106" s="397"/>
      <c r="G106" s="401"/>
      <c r="H106" s="402"/>
      <c r="I106" s="402"/>
      <c r="J106" s="402"/>
      <c r="K106" s="402"/>
      <c r="L106" s="403"/>
    </row>
    <row r="107" spans="1:12" ht="18" customHeight="1" x14ac:dyDescent="0.3">
      <c r="A107" s="341" t="s">
        <v>126</v>
      </c>
      <c r="B107" s="342"/>
      <c r="C107" s="342"/>
      <c r="D107" s="342"/>
      <c r="E107" s="342"/>
      <c r="F107" s="343"/>
      <c r="G107" s="404" t="s">
        <v>92</v>
      </c>
      <c r="H107" s="406" t="s">
        <v>93</v>
      </c>
      <c r="I107" s="407"/>
      <c r="J107" s="407"/>
      <c r="K107" s="407"/>
      <c r="L107" s="408"/>
    </row>
    <row r="108" spans="1:12" ht="18" customHeight="1" x14ac:dyDescent="0.3">
      <c r="A108" s="341"/>
      <c r="B108" s="342"/>
      <c r="C108" s="342"/>
      <c r="D108" s="342"/>
      <c r="E108" s="342"/>
      <c r="F108" s="343"/>
      <c r="G108" s="405"/>
      <c r="H108" s="409"/>
      <c r="I108" s="410"/>
      <c r="J108" s="410"/>
      <c r="K108" s="410"/>
      <c r="L108" s="411"/>
    </row>
    <row r="109" spans="1:12" ht="18" customHeight="1" x14ac:dyDescent="0.3">
      <c r="A109" s="341"/>
      <c r="B109" s="342"/>
      <c r="C109" s="342"/>
      <c r="D109" s="342"/>
      <c r="E109" s="342"/>
      <c r="F109" s="343"/>
      <c r="G109" s="323" t="str">
        <f>IF($J127&gt;=90,"○","")</f>
        <v>○</v>
      </c>
      <c r="H109" s="326" t="s">
        <v>94</v>
      </c>
      <c r="I109" s="327"/>
      <c r="J109" s="327"/>
      <c r="K109" s="327"/>
      <c r="L109" s="328"/>
    </row>
    <row r="110" spans="1:12" ht="18" customHeight="1" x14ac:dyDescent="0.3">
      <c r="A110" s="341"/>
      <c r="B110" s="342"/>
      <c r="C110" s="342"/>
      <c r="D110" s="342"/>
      <c r="E110" s="342"/>
      <c r="F110" s="343"/>
      <c r="G110" s="324"/>
      <c r="H110" s="329"/>
      <c r="I110" s="330"/>
      <c r="J110" s="330"/>
      <c r="K110" s="330"/>
      <c r="L110" s="331"/>
    </row>
    <row r="111" spans="1:12" ht="18" customHeight="1" x14ac:dyDescent="0.3">
      <c r="A111" s="341"/>
      <c r="B111" s="342"/>
      <c r="C111" s="342"/>
      <c r="D111" s="342"/>
      <c r="E111" s="342"/>
      <c r="F111" s="343"/>
      <c r="G111" s="325"/>
      <c r="H111" s="332"/>
      <c r="I111" s="333"/>
      <c r="J111" s="333"/>
      <c r="K111" s="333"/>
      <c r="L111" s="334"/>
    </row>
    <row r="112" spans="1:12" ht="18" customHeight="1" x14ac:dyDescent="0.3">
      <c r="A112" s="341"/>
      <c r="B112" s="342"/>
      <c r="C112" s="342"/>
      <c r="D112" s="342"/>
      <c r="E112" s="342"/>
      <c r="F112" s="343"/>
      <c r="G112" s="323" t="str">
        <f>IF(AND($J127&lt;=89.9,$J127&gt;=80),"○","")</f>
        <v/>
      </c>
      <c r="H112" s="326" t="s">
        <v>95</v>
      </c>
      <c r="I112" s="327"/>
      <c r="J112" s="327"/>
      <c r="K112" s="327"/>
      <c r="L112" s="328"/>
    </row>
    <row r="113" spans="1:12" ht="18" customHeight="1" x14ac:dyDescent="0.3">
      <c r="A113" s="341"/>
      <c r="B113" s="342"/>
      <c r="C113" s="342"/>
      <c r="D113" s="342"/>
      <c r="E113" s="342"/>
      <c r="F113" s="343"/>
      <c r="G113" s="324"/>
      <c r="H113" s="329"/>
      <c r="I113" s="330"/>
      <c r="J113" s="330"/>
      <c r="K113" s="330"/>
      <c r="L113" s="331"/>
    </row>
    <row r="114" spans="1:12" ht="18" customHeight="1" x14ac:dyDescent="0.3">
      <c r="A114" s="341"/>
      <c r="B114" s="342"/>
      <c r="C114" s="342"/>
      <c r="D114" s="342"/>
      <c r="E114" s="342"/>
      <c r="F114" s="343"/>
      <c r="G114" s="325"/>
      <c r="H114" s="332"/>
      <c r="I114" s="333"/>
      <c r="J114" s="333"/>
      <c r="K114" s="333"/>
      <c r="L114" s="334"/>
    </row>
    <row r="115" spans="1:12" ht="18" customHeight="1" x14ac:dyDescent="0.3">
      <c r="A115" s="341"/>
      <c r="B115" s="342"/>
      <c r="C115" s="342"/>
      <c r="D115" s="342"/>
      <c r="E115" s="342"/>
      <c r="F115" s="343"/>
      <c r="G115" s="323" t="str">
        <f>IF(AND($J127&lt;=79.9,$J127&gt;=70),"○","")</f>
        <v/>
      </c>
      <c r="H115" s="326" t="s">
        <v>96</v>
      </c>
      <c r="I115" s="327"/>
      <c r="J115" s="327"/>
      <c r="K115" s="327"/>
      <c r="L115" s="328"/>
    </row>
    <row r="116" spans="1:12" ht="18" customHeight="1" x14ac:dyDescent="0.3">
      <c r="A116" s="341"/>
      <c r="B116" s="342"/>
      <c r="C116" s="342"/>
      <c r="D116" s="342"/>
      <c r="E116" s="342"/>
      <c r="F116" s="343"/>
      <c r="G116" s="324"/>
      <c r="H116" s="329"/>
      <c r="I116" s="330"/>
      <c r="J116" s="330"/>
      <c r="K116" s="330"/>
      <c r="L116" s="331"/>
    </row>
    <row r="117" spans="1:12" ht="18" customHeight="1" x14ac:dyDescent="0.3">
      <c r="A117" s="344" t="str">
        <f>"- "&amp;'전체 훈련생 평가 채점표'!$G$8</f>
        <v>- 0</v>
      </c>
      <c r="B117" s="345"/>
      <c r="C117" s="345"/>
      <c r="D117" s="345"/>
      <c r="E117" s="345"/>
      <c r="F117" s="346"/>
      <c r="G117" s="325"/>
      <c r="H117" s="332"/>
      <c r="I117" s="333"/>
      <c r="J117" s="333"/>
      <c r="K117" s="333"/>
      <c r="L117" s="334"/>
    </row>
    <row r="118" spans="1:12" ht="18" customHeight="1" x14ac:dyDescent="0.3">
      <c r="A118" s="344" t="str">
        <f>"- "&amp;'전체 훈련생 평가 채점표'!$F$8</f>
        <v>- 포트폴리오</v>
      </c>
      <c r="B118" s="345"/>
      <c r="C118" s="345"/>
      <c r="D118" s="345"/>
      <c r="E118" s="345"/>
      <c r="F118" s="346"/>
      <c r="G118" s="323" t="str">
        <f>IF(AND($J127&lt;=69.9,$J127&gt;=60),"○","")</f>
        <v/>
      </c>
      <c r="H118" s="326" t="s">
        <v>97</v>
      </c>
      <c r="I118" s="327"/>
      <c r="J118" s="327"/>
      <c r="K118" s="327"/>
      <c r="L118" s="328"/>
    </row>
    <row r="119" spans="1:12" ht="18" customHeight="1" x14ac:dyDescent="0.3">
      <c r="A119" s="347"/>
      <c r="B119" s="348"/>
      <c r="C119" s="348"/>
      <c r="D119" s="348"/>
      <c r="E119" s="348"/>
      <c r="F119" s="349"/>
      <c r="G119" s="324"/>
      <c r="H119" s="329"/>
      <c r="I119" s="330"/>
      <c r="J119" s="330"/>
      <c r="K119" s="330"/>
      <c r="L119" s="331"/>
    </row>
    <row r="120" spans="1:12" ht="18" customHeight="1" x14ac:dyDescent="0.3">
      <c r="A120" s="347"/>
      <c r="B120" s="348"/>
      <c r="C120" s="348"/>
      <c r="D120" s="348"/>
      <c r="E120" s="348"/>
      <c r="F120" s="349"/>
      <c r="G120" s="325"/>
      <c r="H120" s="332"/>
      <c r="I120" s="333"/>
      <c r="J120" s="333"/>
      <c r="K120" s="333"/>
      <c r="L120" s="334"/>
    </row>
    <row r="121" spans="1:12" ht="18" customHeight="1" x14ac:dyDescent="0.3">
      <c r="A121" s="347"/>
      <c r="B121" s="348"/>
      <c r="C121" s="348"/>
      <c r="D121" s="348"/>
      <c r="E121" s="348"/>
      <c r="F121" s="349"/>
      <c r="G121" s="323" t="str">
        <f>IF($J127&lt;=59.9,"○","")</f>
        <v/>
      </c>
      <c r="H121" s="326" t="s">
        <v>98</v>
      </c>
      <c r="I121" s="327"/>
      <c r="J121" s="327"/>
      <c r="K121" s="327"/>
      <c r="L121" s="328"/>
    </row>
    <row r="122" spans="1:12" ht="18" customHeight="1" x14ac:dyDescent="0.3">
      <c r="A122" s="347"/>
      <c r="B122" s="348"/>
      <c r="C122" s="348"/>
      <c r="D122" s="348"/>
      <c r="E122" s="348"/>
      <c r="F122" s="349"/>
      <c r="G122" s="324"/>
      <c r="H122" s="329"/>
      <c r="I122" s="330"/>
      <c r="J122" s="330"/>
      <c r="K122" s="330"/>
      <c r="L122" s="331"/>
    </row>
    <row r="123" spans="1:12" ht="18" customHeight="1" x14ac:dyDescent="0.3">
      <c r="A123" s="347"/>
      <c r="B123" s="348"/>
      <c r="C123" s="348"/>
      <c r="D123" s="348"/>
      <c r="E123" s="348"/>
      <c r="F123" s="349"/>
      <c r="G123" s="325"/>
      <c r="H123" s="332"/>
      <c r="I123" s="333"/>
      <c r="J123" s="333"/>
      <c r="K123" s="333"/>
      <c r="L123" s="334"/>
    </row>
    <row r="124" spans="1:12" ht="18" customHeight="1" x14ac:dyDescent="0.3">
      <c r="A124" s="347"/>
      <c r="B124" s="348"/>
      <c r="C124" s="348"/>
      <c r="D124" s="348"/>
      <c r="E124" s="348"/>
      <c r="F124" s="349"/>
      <c r="G124" s="335" t="s">
        <v>99</v>
      </c>
      <c r="H124" s="336"/>
      <c r="I124" s="336"/>
      <c r="J124" s="336"/>
      <c r="K124" s="336"/>
      <c r="L124" s="337"/>
    </row>
    <row r="125" spans="1:12" ht="18" customHeight="1" x14ac:dyDescent="0.3">
      <c r="A125" s="350"/>
      <c r="B125" s="351"/>
      <c r="C125" s="351"/>
      <c r="D125" s="351"/>
      <c r="E125" s="351"/>
      <c r="F125" s="352"/>
      <c r="G125" s="338"/>
      <c r="H125" s="339"/>
      <c r="I125" s="339"/>
      <c r="J125" s="339"/>
      <c r="K125" s="339"/>
      <c r="L125" s="340"/>
    </row>
    <row r="126" spans="1:12" ht="18" customHeight="1" x14ac:dyDescent="0.3">
      <c r="A126" s="353">
        <f>A82</f>
        <v>0</v>
      </c>
      <c r="B126" s="354"/>
      <c r="C126" s="355"/>
      <c r="D126" s="356"/>
      <c r="E126" s="357"/>
      <c r="F126" s="357"/>
      <c r="G126" s="357"/>
      <c r="H126" s="357"/>
      <c r="I126" s="358"/>
      <c r="J126" s="359" t="s">
        <v>125</v>
      </c>
      <c r="K126" s="360"/>
      <c r="L126" s="361"/>
    </row>
    <row r="127" spans="1:12" ht="18" customHeight="1" x14ac:dyDescent="0.3">
      <c r="A127" s="362" t="str">
        <f>A83</f>
        <v>포트폴리오</v>
      </c>
      <c r="B127" s="363"/>
      <c r="C127" s="364"/>
      <c r="D127" s="365">
        <f>'전체 훈련생 평가 채점표'!F11</f>
        <v>91.428571428571431</v>
      </c>
      <c r="E127" s="366"/>
      <c r="F127" s="366"/>
      <c r="G127" s="366"/>
      <c r="H127" s="366"/>
      <c r="I127" s="367"/>
      <c r="J127" s="368">
        <f>IFERROR((D126+D127+D128),0)</f>
        <v>91.428571428571431</v>
      </c>
      <c r="K127" s="369"/>
      <c r="L127" s="370"/>
    </row>
    <row r="128" spans="1:12" ht="18" customHeight="1" x14ac:dyDescent="0.3">
      <c r="A128" s="374">
        <f>A84</f>
        <v>0</v>
      </c>
      <c r="B128" s="375"/>
      <c r="C128" s="376"/>
      <c r="D128" s="377">
        <f>'전체 훈련생 평가 채점표'!G11</f>
        <v>0</v>
      </c>
      <c r="E128" s="378"/>
      <c r="F128" s="378"/>
      <c r="G128" s="378"/>
      <c r="H128" s="378"/>
      <c r="I128" s="379"/>
      <c r="J128" s="371"/>
      <c r="K128" s="372"/>
      <c r="L128" s="373"/>
    </row>
    <row r="129" spans="1:12" ht="18" customHeight="1" x14ac:dyDescent="0.3">
      <c r="A129" s="303" t="s">
        <v>11</v>
      </c>
      <c r="B129" s="304"/>
      <c r="C129" s="304"/>
      <c r="D129" s="304"/>
      <c r="E129" s="304"/>
      <c r="F129" s="304"/>
      <c r="G129" s="304"/>
      <c r="H129" s="304"/>
      <c r="I129" s="304"/>
      <c r="J129" s="304"/>
      <c r="K129" s="304"/>
      <c r="L129" s="305"/>
    </row>
    <row r="130" spans="1:12" ht="18" customHeight="1" x14ac:dyDescent="0.3">
      <c r="A130" s="306" t="s">
        <v>100</v>
      </c>
      <c r="B130" s="307"/>
      <c r="C130" s="307"/>
      <c r="D130" s="307"/>
      <c r="E130" s="307"/>
      <c r="F130" s="307"/>
      <c r="G130" s="307"/>
      <c r="H130" s="307"/>
      <c r="I130" s="307"/>
      <c r="J130" s="307"/>
      <c r="K130" s="307"/>
      <c r="L130" s="308"/>
    </row>
    <row r="131" spans="1:12" ht="18" customHeight="1" x14ac:dyDescent="0.3">
      <c r="A131" s="309" t="s">
        <v>92</v>
      </c>
      <c r="B131" s="309"/>
      <c r="C131" s="309"/>
      <c r="D131" s="310" t="s">
        <v>101</v>
      </c>
      <c r="E131" s="311"/>
      <c r="F131" s="310" t="s">
        <v>102</v>
      </c>
      <c r="G131" s="312"/>
      <c r="H131" s="311"/>
      <c r="I131" s="313">
        <f>$J127</f>
        <v>91.428571428571431</v>
      </c>
      <c r="J131" s="313"/>
      <c r="K131" s="315" t="s">
        <v>103</v>
      </c>
      <c r="L131" s="316"/>
    </row>
    <row r="132" spans="1:12" ht="18" customHeight="1" x14ac:dyDescent="0.3">
      <c r="A132" s="319" t="s">
        <v>104</v>
      </c>
      <c r="B132" s="319"/>
      <c r="C132" s="319"/>
      <c r="D132" s="320" t="s">
        <v>105</v>
      </c>
      <c r="E132" s="321"/>
      <c r="F132" s="320" t="s">
        <v>106</v>
      </c>
      <c r="G132" s="322"/>
      <c r="H132" s="321"/>
      <c r="I132" s="314"/>
      <c r="J132" s="314"/>
      <c r="K132" s="317"/>
      <c r="L132" s="318"/>
    </row>
    <row r="133" spans="1:12" ht="21.95" customHeight="1" x14ac:dyDescent="0.3">
      <c r="A133" s="453" t="str">
        <f>MID(VLOOKUP('전체 훈련생 평가 채점표'!$L$2,'기초데이타(작성필히)'!$A$5:$P$19,9),18,50)&amp;" 수행평가"</f>
        <v xml:space="preserve">  스마트문화앱UX설계 수행평가</v>
      </c>
      <c r="B133" s="453"/>
      <c r="C133" s="453"/>
      <c r="D133" s="453"/>
      <c r="E133" s="453"/>
      <c r="F133" s="453"/>
      <c r="G133" s="453"/>
      <c r="H133" s="453"/>
      <c r="I133" s="453"/>
      <c r="J133" s="453"/>
      <c r="K133" s="453"/>
      <c r="L133" s="453"/>
    </row>
    <row r="134" spans="1:12" ht="18" customHeight="1" x14ac:dyDescent="0.3">
      <c r="A134" s="309" t="s">
        <v>16</v>
      </c>
      <c r="B134" s="454">
        <f>VLOOKUP('전체 훈련생 평가 채점표'!$L$2,'기초데이타(작성필히)'!$A$5:$P$19,3)</f>
        <v>2021</v>
      </c>
      <c r="C134" s="454" t="s">
        <v>17</v>
      </c>
      <c r="D134" s="455" t="str">
        <f>VLOOKUP('전체 훈련생 평가 채점표'!$L$2,'기초데이타(작성필히)'!$A$5:$P$19,4)</f>
        <v>[디지털디자인]반응형 웹디자인(UIUX) &amp; 웹퍼블리셔 디지털 실무 양성과정 A-5</v>
      </c>
      <c r="E134" s="455"/>
      <c r="F134" s="455"/>
      <c r="G134" s="454" t="s">
        <v>18</v>
      </c>
      <c r="H134" s="359" t="str">
        <f>VLOOKUP('전체 훈련생 평가 채점표'!$L$2,'기초데이타(작성필히)'!$A$5:$P$19,5)</f>
        <v>21.08.31 ~ 22.02.07</v>
      </c>
      <c r="I134" s="360"/>
      <c r="J134" s="361"/>
      <c r="K134" s="460" t="s">
        <v>78</v>
      </c>
      <c r="L134" s="309" t="str">
        <f>VLOOKUP('전체 훈련생 평가 채점표'!$L$2,'기초데이타(작성필히)'!$A$5:$P$19,6)</f>
        <v>760H</v>
      </c>
    </row>
    <row r="135" spans="1:12" ht="18" customHeight="1" x14ac:dyDescent="0.3">
      <c r="A135" s="412"/>
      <c r="B135" s="413"/>
      <c r="C135" s="413"/>
      <c r="D135" s="456"/>
      <c r="E135" s="456"/>
      <c r="F135" s="456"/>
      <c r="G135" s="413"/>
      <c r="H135" s="457"/>
      <c r="I135" s="458"/>
      <c r="J135" s="459"/>
      <c r="K135" s="461"/>
      <c r="L135" s="412"/>
    </row>
    <row r="136" spans="1:12" ht="18" customHeight="1" x14ac:dyDescent="0.3">
      <c r="A136" s="412" t="s">
        <v>23</v>
      </c>
      <c r="B136" s="412"/>
      <c r="C136" s="412" t="str">
        <f>LEFT(VLOOKUP('전체 훈련생 평가 채점표'!$L$2,'기초데이타(작성필히)'!$A$5:$P$19,9),17)</f>
        <v>[0803020911_18v3]</v>
      </c>
      <c r="D136" s="412"/>
      <c r="E136" s="412"/>
      <c r="F136" s="412"/>
      <c r="G136" s="413" t="s">
        <v>24</v>
      </c>
      <c r="H136" s="412" t="str">
        <f>VLOOKUP('전체 훈련생 평가 채점표'!$L$2,'기초데이타(작성필히)'!$A$5:$P$19,12)</f>
        <v>이창훈</v>
      </c>
      <c r="I136" s="412"/>
      <c r="J136" s="412"/>
      <c r="K136" s="414"/>
      <c r="L136" s="415" t="s">
        <v>25</v>
      </c>
    </row>
    <row r="137" spans="1:12" ht="18" customHeight="1" x14ac:dyDescent="0.3">
      <c r="A137" s="412"/>
      <c r="B137" s="412"/>
      <c r="C137" s="412" t="str">
        <f>MID(VLOOKUP('전체 훈련생 평가 채점표'!$L$2,'기초데이타(작성필히)'!$A$5:$P$19,9),18,50)</f>
        <v xml:space="preserve">  스마트문화앱UX설계</v>
      </c>
      <c r="D137" s="412"/>
      <c r="E137" s="412"/>
      <c r="F137" s="412"/>
      <c r="G137" s="413"/>
      <c r="H137" s="412"/>
      <c r="I137" s="412"/>
      <c r="J137" s="412"/>
      <c r="K137" s="414"/>
      <c r="L137" s="416"/>
    </row>
    <row r="138" spans="1:12" ht="18" customHeight="1" x14ac:dyDescent="0.3">
      <c r="A138" s="412" t="s">
        <v>79</v>
      </c>
      <c r="B138" s="412"/>
      <c r="C138" s="413" t="str">
        <f>'전체 훈련생 평가 채점표'!B12</f>
        <v>김미향</v>
      </c>
      <c r="D138" s="413" t="s">
        <v>21</v>
      </c>
      <c r="E138" s="418" t="str">
        <f>VLOOKUP('전체 훈련생 평가 채점표'!$L$2,'기초데이타(작성필히)'!$A$5:$P$19,10)</f>
        <v>21.11.11~21.11.24</v>
      </c>
      <c r="F138" s="419"/>
      <c r="G138" s="420"/>
      <c r="H138" s="60" t="s">
        <v>80</v>
      </c>
      <c r="I138" s="61" t="s">
        <v>22</v>
      </c>
      <c r="J138" s="424" t="s">
        <v>81</v>
      </c>
      <c r="K138" s="425"/>
      <c r="L138" s="426"/>
    </row>
    <row r="139" spans="1:12" ht="18" customHeight="1" x14ac:dyDescent="0.3">
      <c r="A139" s="319"/>
      <c r="B139" s="319"/>
      <c r="C139" s="417"/>
      <c r="D139" s="417"/>
      <c r="E139" s="421"/>
      <c r="F139" s="422"/>
      <c r="G139" s="423"/>
      <c r="H139" s="62" t="s">
        <v>113</v>
      </c>
      <c r="I139" s="62">
        <f>VLOOKUP('전체 훈련생 평가 채점표'!$L$2,'기초데이타(작성필히)'!$A$5:$P$19,11)</f>
        <v>70</v>
      </c>
      <c r="J139" s="314" t="s">
        <v>113</v>
      </c>
      <c r="K139" s="314"/>
      <c r="L139" s="427"/>
    </row>
    <row r="140" spans="1:12" ht="18" customHeight="1" x14ac:dyDescent="0.3"/>
    <row r="141" spans="1:12" ht="18" customHeight="1" x14ac:dyDescent="0.3">
      <c r="A141" s="428" t="s">
        <v>82</v>
      </c>
      <c r="B141" s="429"/>
      <c r="C141" s="429"/>
      <c r="D141" s="431" t="s">
        <v>83</v>
      </c>
      <c r="E141" s="431"/>
      <c r="F141" s="431"/>
      <c r="G141" s="433" t="s">
        <v>84</v>
      </c>
      <c r="H141" s="434"/>
      <c r="I141" s="434"/>
      <c r="J141" s="434"/>
      <c r="K141" s="434"/>
      <c r="L141" s="435"/>
    </row>
    <row r="142" spans="1:12" ht="18" customHeight="1" x14ac:dyDescent="0.3">
      <c r="A142" s="430"/>
      <c r="B142" s="430"/>
      <c r="C142" s="430"/>
      <c r="D142" s="432"/>
      <c r="E142" s="432"/>
      <c r="F142" s="432"/>
      <c r="G142" s="436"/>
      <c r="H142" s="437"/>
      <c r="I142" s="437"/>
      <c r="J142" s="437"/>
      <c r="K142" s="437"/>
      <c r="L142" s="438"/>
    </row>
    <row r="143" spans="1:12" ht="18" customHeight="1" x14ac:dyDescent="0.3">
      <c r="A143" s="383" t="str">
        <f>$C138</f>
        <v>김미향</v>
      </c>
      <c r="B143" s="439"/>
      <c r="C143" s="439"/>
      <c r="D143" s="441" t="str">
        <f>$H136</f>
        <v>이창훈</v>
      </c>
      <c r="E143" s="443" t="s">
        <v>25</v>
      </c>
      <c r="F143" s="444"/>
      <c r="G143" s="382" t="s">
        <v>85</v>
      </c>
      <c r="H143" s="447">
        <f>VLOOKUP('전체 훈련생 평가 채점표'!$L$2,'기초데이타(작성필히)'!$A$5:$P$19,13)</f>
        <v>44524</v>
      </c>
      <c r="I143" s="448"/>
      <c r="J143" s="448"/>
      <c r="K143" s="449"/>
      <c r="L143" s="391" t="s">
        <v>86</v>
      </c>
    </row>
    <row r="144" spans="1:12" ht="18" customHeight="1" x14ac:dyDescent="0.3">
      <c r="A144" s="440"/>
      <c r="B144" s="440"/>
      <c r="C144" s="440"/>
      <c r="D144" s="442"/>
      <c r="E144" s="445"/>
      <c r="F144" s="446"/>
      <c r="G144" s="384"/>
      <c r="H144" s="450"/>
      <c r="I144" s="451"/>
      <c r="J144" s="451"/>
      <c r="K144" s="452"/>
      <c r="L144" s="392"/>
    </row>
    <row r="145" spans="1:12" ht="18" customHeight="1" x14ac:dyDescent="0.3">
      <c r="A145" s="380" t="s">
        <v>87</v>
      </c>
      <c r="B145" s="380"/>
      <c r="C145" s="380"/>
      <c r="D145" s="382" t="str">
        <f>$C136</f>
        <v>[0803020911_18v3]</v>
      </c>
      <c r="E145" s="382"/>
      <c r="F145" s="382"/>
      <c r="G145" s="382" t="s">
        <v>88</v>
      </c>
      <c r="H145" s="385"/>
      <c r="I145" s="386"/>
      <c r="J145" s="386"/>
      <c r="K145" s="387"/>
      <c r="L145" s="391" t="s">
        <v>86</v>
      </c>
    </row>
    <row r="146" spans="1:12" ht="18" customHeight="1" x14ac:dyDescent="0.3">
      <c r="A146" s="381"/>
      <c r="B146" s="381"/>
      <c r="C146" s="381"/>
      <c r="D146" s="383"/>
      <c r="E146" s="383"/>
      <c r="F146" s="383"/>
      <c r="G146" s="384"/>
      <c r="H146" s="388"/>
      <c r="I146" s="389"/>
      <c r="J146" s="389"/>
      <c r="K146" s="390"/>
      <c r="L146" s="392"/>
    </row>
    <row r="147" spans="1:12" ht="18" customHeight="1" x14ac:dyDescent="0.3">
      <c r="A147" s="393" t="str">
        <f>VLOOKUP('전체 훈련생 평가 채점표'!$L$2,'기초데이타(작성필히)'!$A$5:$P$19,7)</f>
        <v>스타일가이드제작 및 시안디자인 제작2</v>
      </c>
      <c r="B147" s="393"/>
      <c r="C147" s="393"/>
      <c r="D147" s="383" t="str">
        <f>$C137</f>
        <v xml:space="preserve">  스마트문화앱UX설계</v>
      </c>
      <c r="E147" s="383"/>
      <c r="F147" s="383"/>
      <c r="G147" s="382" t="s">
        <v>89</v>
      </c>
      <c r="H147" s="385"/>
      <c r="I147" s="386"/>
      <c r="J147" s="386"/>
      <c r="K147" s="387"/>
      <c r="L147" s="391" t="s">
        <v>86</v>
      </c>
    </row>
    <row r="148" spans="1:12" ht="18" customHeight="1" x14ac:dyDescent="0.3">
      <c r="A148" s="394"/>
      <c r="B148" s="394"/>
      <c r="C148" s="394"/>
      <c r="D148" s="384"/>
      <c r="E148" s="384"/>
      <c r="F148" s="384"/>
      <c r="G148" s="384"/>
      <c r="H148" s="388"/>
      <c r="I148" s="389"/>
      <c r="J148" s="389"/>
      <c r="K148" s="390"/>
      <c r="L148" s="392"/>
    </row>
    <row r="149" spans="1:12" ht="18" customHeight="1" x14ac:dyDescent="0.3">
      <c r="A149" s="395" t="s">
        <v>90</v>
      </c>
      <c r="B149" s="396"/>
      <c r="C149" s="396"/>
      <c r="D149" s="396"/>
      <c r="E149" s="396"/>
      <c r="F149" s="397"/>
      <c r="G149" s="398" t="s">
        <v>91</v>
      </c>
      <c r="H149" s="399"/>
      <c r="I149" s="399"/>
      <c r="J149" s="399"/>
      <c r="K149" s="399"/>
      <c r="L149" s="400"/>
    </row>
    <row r="150" spans="1:12" ht="18" customHeight="1" x14ac:dyDescent="0.3">
      <c r="A150" s="395"/>
      <c r="B150" s="396"/>
      <c r="C150" s="396"/>
      <c r="D150" s="396"/>
      <c r="E150" s="396"/>
      <c r="F150" s="397"/>
      <c r="G150" s="401"/>
      <c r="H150" s="402"/>
      <c r="I150" s="402"/>
      <c r="J150" s="402"/>
      <c r="K150" s="402"/>
      <c r="L150" s="403"/>
    </row>
    <row r="151" spans="1:12" ht="18" customHeight="1" x14ac:dyDescent="0.3">
      <c r="A151" s="341" t="s">
        <v>126</v>
      </c>
      <c r="B151" s="342"/>
      <c r="C151" s="342"/>
      <c r="D151" s="342"/>
      <c r="E151" s="342"/>
      <c r="F151" s="343"/>
      <c r="G151" s="404" t="s">
        <v>92</v>
      </c>
      <c r="H151" s="406" t="s">
        <v>93</v>
      </c>
      <c r="I151" s="407"/>
      <c r="J151" s="407"/>
      <c r="K151" s="407"/>
      <c r="L151" s="408"/>
    </row>
    <row r="152" spans="1:12" ht="18" customHeight="1" x14ac:dyDescent="0.3">
      <c r="A152" s="341"/>
      <c r="B152" s="342"/>
      <c r="C152" s="342"/>
      <c r="D152" s="342"/>
      <c r="E152" s="342"/>
      <c r="F152" s="343"/>
      <c r="G152" s="405"/>
      <c r="H152" s="409"/>
      <c r="I152" s="410"/>
      <c r="J152" s="410"/>
      <c r="K152" s="410"/>
      <c r="L152" s="411"/>
    </row>
    <row r="153" spans="1:12" ht="18" customHeight="1" x14ac:dyDescent="0.3">
      <c r="A153" s="341"/>
      <c r="B153" s="342"/>
      <c r="C153" s="342"/>
      <c r="D153" s="342"/>
      <c r="E153" s="342"/>
      <c r="F153" s="343"/>
      <c r="G153" s="323" t="str">
        <f>IF($J171&gt;=90,"○","")</f>
        <v/>
      </c>
      <c r="H153" s="326" t="s">
        <v>94</v>
      </c>
      <c r="I153" s="327"/>
      <c r="J153" s="327"/>
      <c r="K153" s="327"/>
      <c r="L153" s="328"/>
    </row>
    <row r="154" spans="1:12" ht="18" customHeight="1" x14ac:dyDescent="0.3">
      <c r="A154" s="341"/>
      <c r="B154" s="342"/>
      <c r="C154" s="342"/>
      <c r="D154" s="342"/>
      <c r="E154" s="342"/>
      <c r="F154" s="343"/>
      <c r="G154" s="324"/>
      <c r="H154" s="329"/>
      <c r="I154" s="330"/>
      <c r="J154" s="330"/>
      <c r="K154" s="330"/>
      <c r="L154" s="331"/>
    </row>
    <row r="155" spans="1:12" ht="18" customHeight="1" x14ac:dyDescent="0.3">
      <c r="A155" s="341"/>
      <c r="B155" s="342"/>
      <c r="C155" s="342"/>
      <c r="D155" s="342"/>
      <c r="E155" s="342"/>
      <c r="F155" s="343"/>
      <c r="G155" s="325"/>
      <c r="H155" s="332"/>
      <c r="I155" s="333"/>
      <c r="J155" s="333"/>
      <c r="K155" s="333"/>
      <c r="L155" s="334"/>
    </row>
    <row r="156" spans="1:12" ht="18" customHeight="1" x14ac:dyDescent="0.3">
      <c r="A156" s="341"/>
      <c r="B156" s="342"/>
      <c r="C156" s="342"/>
      <c r="D156" s="342"/>
      <c r="E156" s="342"/>
      <c r="F156" s="343"/>
      <c r="G156" s="323" t="str">
        <f>IF(AND($J171&lt;=89.9,$J171&gt;=80),"○","")</f>
        <v>○</v>
      </c>
      <c r="H156" s="326" t="s">
        <v>95</v>
      </c>
      <c r="I156" s="327"/>
      <c r="J156" s="327"/>
      <c r="K156" s="327"/>
      <c r="L156" s="328"/>
    </row>
    <row r="157" spans="1:12" ht="18" customHeight="1" x14ac:dyDescent="0.3">
      <c r="A157" s="341"/>
      <c r="B157" s="342"/>
      <c r="C157" s="342"/>
      <c r="D157" s="342"/>
      <c r="E157" s="342"/>
      <c r="F157" s="343"/>
      <c r="G157" s="324"/>
      <c r="H157" s="329"/>
      <c r="I157" s="330"/>
      <c r="J157" s="330"/>
      <c r="K157" s="330"/>
      <c r="L157" s="331"/>
    </row>
    <row r="158" spans="1:12" ht="18" customHeight="1" x14ac:dyDescent="0.3">
      <c r="A158" s="341"/>
      <c r="B158" s="342"/>
      <c r="C158" s="342"/>
      <c r="D158" s="342"/>
      <c r="E158" s="342"/>
      <c r="F158" s="343"/>
      <c r="G158" s="325"/>
      <c r="H158" s="332"/>
      <c r="I158" s="333"/>
      <c r="J158" s="333"/>
      <c r="K158" s="333"/>
      <c r="L158" s="334"/>
    </row>
    <row r="159" spans="1:12" ht="18" customHeight="1" x14ac:dyDescent="0.3">
      <c r="A159" s="341"/>
      <c r="B159" s="342"/>
      <c r="C159" s="342"/>
      <c r="D159" s="342"/>
      <c r="E159" s="342"/>
      <c r="F159" s="343"/>
      <c r="G159" s="323" t="str">
        <f>IF(AND($J171&lt;=79.9,$J171&gt;=70),"○","")</f>
        <v/>
      </c>
      <c r="H159" s="326" t="s">
        <v>96</v>
      </c>
      <c r="I159" s="327"/>
      <c r="J159" s="327"/>
      <c r="K159" s="327"/>
      <c r="L159" s="328"/>
    </row>
    <row r="160" spans="1:12" ht="18" customHeight="1" x14ac:dyDescent="0.3">
      <c r="A160" s="341"/>
      <c r="B160" s="342"/>
      <c r="C160" s="342"/>
      <c r="D160" s="342"/>
      <c r="E160" s="342"/>
      <c r="F160" s="343"/>
      <c r="G160" s="324"/>
      <c r="H160" s="329"/>
      <c r="I160" s="330"/>
      <c r="J160" s="330"/>
      <c r="K160" s="330"/>
      <c r="L160" s="331"/>
    </row>
    <row r="161" spans="1:12" ht="18" customHeight="1" x14ac:dyDescent="0.3">
      <c r="A161" s="344" t="str">
        <f>"- "&amp;'전체 훈련생 평가 채점표'!$G$8</f>
        <v>- 0</v>
      </c>
      <c r="B161" s="345"/>
      <c r="C161" s="345"/>
      <c r="D161" s="345"/>
      <c r="E161" s="345"/>
      <c r="F161" s="346"/>
      <c r="G161" s="325"/>
      <c r="H161" s="332"/>
      <c r="I161" s="333"/>
      <c r="J161" s="333"/>
      <c r="K161" s="333"/>
      <c r="L161" s="334"/>
    </row>
    <row r="162" spans="1:12" ht="18" customHeight="1" x14ac:dyDescent="0.3">
      <c r="A162" s="344" t="str">
        <f>"- "&amp;'전체 훈련생 평가 채점표'!$F$8</f>
        <v>- 포트폴리오</v>
      </c>
      <c r="B162" s="345"/>
      <c r="C162" s="345"/>
      <c r="D162" s="345"/>
      <c r="E162" s="345"/>
      <c r="F162" s="346"/>
      <c r="G162" s="323" t="str">
        <f>IF(AND($J171&lt;=69.9,$J171&gt;=60),"○","")</f>
        <v/>
      </c>
      <c r="H162" s="326" t="s">
        <v>97</v>
      </c>
      <c r="I162" s="327"/>
      <c r="J162" s="327"/>
      <c r="K162" s="327"/>
      <c r="L162" s="328"/>
    </row>
    <row r="163" spans="1:12" ht="18" customHeight="1" x14ac:dyDescent="0.3">
      <c r="A163" s="347"/>
      <c r="B163" s="348"/>
      <c r="C163" s="348"/>
      <c r="D163" s="348"/>
      <c r="E163" s="348"/>
      <c r="F163" s="349"/>
      <c r="G163" s="324"/>
      <c r="H163" s="329"/>
      <c r="I163" s="330"/>
      <c r="J163" s="330"/>
      <c r="K163" s="330"/>
      <c r="L163" s="331"/>
    </row>
    <row r="164" spans="1:12" ht="18" customHeight="1" x14ac:dyDescent="0.3">
      <c r="A164" s="347"/>
      <c r="B164" s="348"/>
      <c r="C164" s="348"/>
      <c r="D164" s="348"/>
      <c r="E164" s="348"/>
      <c r="F164" s="349"/>
      <c r="G164" s="325"/>
      <c r="H164" s="332"/>
      <c r="I164" s="333"/>
      <c r="J164" s="333"/>
      <c r="K164" s="333"/>
      <c r="L164" s="334"/>
    </row>
    <row r="165" spans="1:12" ht="18" customHeight="1" x14ac:dyDescent="0.3">
      <c r="A165" s="347"/>
      <c r="B165" s="348"/>
      <c r="C165" s="348"/>
      <c r="D165" s="348"/>
      <c r="E165" s="348"/>
      <c r="F165" s="349"/>
      <c r="G165" s="323" t="str">
        <f>IF($J171&lt;=59.9,"○","")</f>
        <v/>
      </c>
      <c r="H165" s="326" t="s">
        <v>98</v>
      </c>
      <c r="I165" s="327"/>
      <c r="J165" s="327"/>
      <c r="K165" s="327"/>
      <c r="L165" s="328"/>
    </row>
    <row r="166" spans="1:12" ht="18" customHeight="1" x14ac:dyDescent="0.3">
      <c r="A166" s="347"/>
      <c r="B166" s="348"/>
      <c r="C166" s="348"/>
      <c r="D166" s="348"/>
      <c r="E166" s="348"/>
      <c r="F166" s="349"/>
      <c r="G166" s="324"/>
      <c r="H166" s="329"/>
      <c r="I166" s="330"/>
      <c r="J166" s="330"/>
      <c r="K166" s="330"/>
      <c r="L166" s="331"/>
    </row>
    <row r="167" spans="1:12" ht="18" customHeight="1" x14ac:dyDescent="0.3">
      <c r="A167" s="347"/>
      <c r="B167" s="348"/>
      <c r="C167" s="348"/>
      <c r="D167" s="348"/>
      <c r="E167" s="348"/>
      <c r="F167" s="349"/>
      <c r="G167" s="325"/>
      <c r="H167" s="332"/>
      <c r="I167" s="333"/>
      <c r="J167" s="333"/>
      <c r="K167" s="333"/>
      <c r="L167" s="334"/>
    </row>
    <row r="168" spans="1:12" ht="18" customHeight="1" x14ac:dyDescent="0.3">
      <c r="A168" s="347"/>
      <c r="B168" s="348"/>
      <c r="C168" s="348"/>
      <c r="D168" s="348"/>
      <c r="E168" s="348"/>
      <c r="F168" s="349"/>
      <c r="G168" s="335" t="s">
        <v>99</v>
      </c>
      <c r="H168" s="336"/>
      <c r="I168" s="336"/>
      <c r="J168" s="336"/>
      <c r="K168" s="336"/>
      <c r="L168" s="337"/>
    </row>
    <row r="169" spans="1:12" ht="18" customHeight="1" x14ac:dyDescent="0.3">
      <c r="A169" s="350"/>
      <c r="B169" s="351"/>
      <c r="C169" s="351"/>
      <c r="D169" s="351"/>
      <c r="E169" s="351"/>
      <c r="F169" s="352"/>
      <c r="G169" s="338"/>
      <c r="H169" s="339"/>
      <c r="I169" s="339"/>
      <c r="J169" s="339"/>
      <c r="K169" s="339"/>
      <c r="L169" s="340"/>
    </row>
    <row r="170" spans="1:12" ht="18" customHeight="1" x14ac:dyDescent="0.3">
      <c r="A170" s="353">
        <f>A126</f>
        <v>0</v>
      </c>
      <c r="B170" s="354"/>
      <c r="C170" s="355"/>
      <c r="D170" s="356"/>
      <c r="E170" s="357"/>
      <c r="F170" s="357"/>
      <c r="G170" s="357"/>
      <c r="H170" s="357"/>
      <c r="I170" s="358"/>
      <c r="J170" s="359" t="s">
        <v>125</v>
      </c>
      <c r="K170" s="360"/>
      <c r="L170" s="361"/>
    </row>
    <row r="171" spans="1:12" ht="18" customHeight="1" x14ac:dyDescent="0.3">
      <c r="A171" s="362" t="str">
        <f>A127</f>
        <v>포트폴리오</v>
      </c>
      <c r="B171" s="363"/>
      <c r="C171" s="364"/>
      <c r="D171" s="365">
        <f>'전체 훈련생 평가 채점표'!F12</f>
        <v>82.857142857142861</v>
      </c>
      <c r="E171" s="366"/>
      <c r="F171" s="366"/>
      <c r="G171" s="366"/>
      <c r="H171" s="366"/>
      <c r="I171" s="367"/>
      <c r="J171" s="368">
        <f>IFERROR((D170+D171+D172),0)</f>
        <v>82.857142857142861</v>
      </c>
      <c r="K171" s="369"/>
      <c r="L171" s="370"/>
    </row>
    <row r="172" spans="1:12" ht="18" customHeight="1" x14ac:dyDescent="0.3">
      <c r="A172" s="374">
        <f>A128</f>
        <v>0</v>
      </c>
      <c r="B172" s="375"/>
      <c r="C172" s="376"/>
      <c r="D172" s="377">
        <f>'전체 훈련생 평가 채점표'!G12</f>
        <v>0</v>
      </c>
      <c r="E172" s="378"/>
      <c r="F172" s="378"/>
      <c r="G172" s="378"/>
      <c r="H172" s="378"/>
      <c r="I172" s="379"/>
      <c r="J172" s="371"/>
      <c r="K172" s="372"/>
      <c r="L172" s="373"/>
    </row>
    <row r="173" spans="1:12" ht="18" customHeight="1" x14ac:dyDescent="0.3">
      <c r="A173" s="303" t="s">
        <v>11</v>
      </c>
      <c r="B173" s="304"/>
      <c r="C173" s="304"/>
      <c r="D173" s="304"/>
      <c r="E173" s="304"/>
      <c r="F173" s="304"/>
      <c r="G173" s="304"/>
      <c r="H173" s="304"/>
      <c r="I173" s="304"/>
      <c r="J173" s="304"/>
      <c r="K173" s="304"/>
      <c r="L173" s="305"/>
    </row>
    <row r="174" spans="1:12" ht="18" customHeight="1" x14ac:dyDescent="0.3">
      <c r="A174" s="306" t="s">
        <v>100</v>
      </c>
      <c r="B174" s="307"/>
      <c r="C174" s="307"/>
      <c r="D174" s="307"/>
      <c r="E174" s="307"/>
      <c r="F174" s="307"/>
      <c r="G174" s="307"/>
      <c r="H174" s="307"/>
      <c r="I174" s="307"/>
      <c r="J174" s="307"/>
      <c r="K174" s="307"/>
      <c r="L174" s="308"/>
    </row>
    <row r="175" spans="1:12" ht="18" customHeight="1" x14ac:dyDescent="0.3">
      <c r="A175" s="309" t="s">
        <v>92</v>
      </c>
      <c r="B175" s="309"/>
      <c r="C175" s="309"/>
      <c r="D175" s="310" t="s">
        <v>101</v>
      </c>
      <c r="E175" s="311"/>
      <c r="F175" s="310" t="s">
        <v>102</v>
      </c>
      <c r="G175" s="312"/>
      <c r="H175" s="311"/>
      <c r="I175" s="313">
        <f>$J171</f>
        <v>82.857142857142861</v>
      </c>
      <c r="J175" s="313"/>
      <c r="K175" s="315" t="s">
        <v>103</v>
      </c>
      <c r="L175" s="316"/>
    </row>
    <row r="176" spans="1:12" ht="18" customHeight="1" x14ac:dyDescent="0.3">
      <c r="A176" s="319" t="s">
        <v>104</v>
      </c>
      <c r="B176" s="319"/>
      <c r="C176" s="319"/>
      <c r="D176" s="320" t="s">
        <v>105</v>
      </c>
      <c r="E176" s="321"/>
      <c r="F176" s="320" t="s">
        <v>106</v>
      </c>
      <c r="G176" s="322"/>
      <c r="H176" s="321"/>
      <c r="I176" s="314"/>
      <c r="J176" s="314"/>
      <c r="K176" s="317"/>
      <c r="L176" s="318"/>
    </row>
    <row r="177" spans="1:12" ht="21.95" customHeight="1" x14ac:dyDescent="0.3">
      <c r="A177" s="453" t="str">
        <f>MID(VLOOKUP('전체 훈련생 평가 채점표'!$L$2,'기초데이타(작성필히)'!$A$5:$P$19,9),18,50)&amp;" 수행평가"</f>
        <v xml:space="preserve">  스마트문화앱UX설계 수행평가</v>
      </c>
      <c r="B177" s="453"/>
      <c r="C177" s="453"/>
      <c r="D177" s="453"/>
      <c r="E177" s="453"/>
      <c r="F177" s="453"/>
      <c r="G177" s="453"/>
      <c r="H177" s="453"/>
      <c r="I177" s="453"/>
      <c r="J177" s="453"/>
      <c r="K177" s="453"/>
      <c r="L177" s="453"/>
    </row>
    <row r="178" spans="1:12" ht="18" customHeight="1" x14ac:dyDescent="0.3">
      <c r="A178" s="309" t="s">
        <v>16</v>
      </c>
      <c r="B178" s="454">
        <f>VLOOKUP('전체 훈련생 평가 채점표'!$L$2,'기초데이타(작성필히)'!$A$5:$P$19,3)</f>
        <v>2021</v>
      </c>
      <c r="C178" s="454" t="s">
        <v>17</v>
      </c>
      <c r="D178" s="455" t="str">
        <f>VLOOKUP('전체 훈련생 평가 채점표'!$L$2,'기초데이타(작성필히)'!$A$5:$P$19,4)</f>
        <v>[디지털디자인]반응형 웹디자인(UIUX) &amp; 웹퍼블리셔 디지털 실무 양성과정 A-5</v>
      </c>
      <c r="E178" s="455"/>
      <c r="F178" s="455"/>
      <c r="G178" s="454" t="s">
        <v>18</v>
      </c>
      <c r="H178" s="359" t="str">
        <f>VLOOKUP('전체 훈련생 평가 채점표'!$L$2,'기초데이타(작성필히)'!$A$5:$P$19,5)</f>
        <v>21.08.31 ~ 22.02.07</v>
      </c>
      <c r="I178" s="360"/>
      <c r="J178" s="361"/>
      <c r="K178" s="460" t="s">
        <v>78</v>
      </c>
      <c r="L178" s="309" t="str">
        <f>VLOOKUP('전체 훈련생 평가 채점표'!$L$2,'기초데이타(작성필히)'!$A$5:$P$19,6)</f>
        <v>760H</v>
      </c>
    </row>
    <row r="179" spans="1:12" ht="18" customHeight="1" x14ac:dyDescent="0.3">
      <c r="A179" s="412"/>
      <c r="B179" s="413"/>
      <c r="C179" s="413"/>
      <c r="D179" s="456"/>
      <c r="E179" s="456"/>
      <c r="F179" s="456"/>
      <c r="G179" s="413"/>
      <c r="H179" s="457"/>
      <c r="I179" s="458"/>
      <c r="J179" s="459"/>
      <c r="K179" s="461"/>
      <c r="L179" s="412"/>
    </row>
    <row r="180" spans="1:12" ht="18" customHeight="1" x14ac:dyDescent="0.3">
      <c r="A180" s="412" t="s">
        <v>23</v>
      </c>
      <c r="B180" s="412"/>
      <c r="C180" s="412" t="str">
        <f>LEFT(VLOOKUP('전체 훈련생 평가 채점표'!$L$2,'기초데이타(작성필히)'!$A$5:$P$19,9),17)</f>
        <v>[0803020911_18v3]</v>
      </c>
      <c r="D180" s="412"/>
      <c r="E180" s="412"/>
      <c r="F180" s="412"/>
      <c r="G180" s="413" t="s">
        <v>24</v>
      </c>
      <c r="H180" s="412" t="str">
        <f>VLOOKUP('전체 훈련생 평가 채점표'!$L$2,'기초데이타(작성필히)'!$A$5:$P$19,12)</f>
        <v>이창훈</v>
      </c>
      <c r="I180" s="412"/>
      <c r="J180" s="412"/>
      <c r="K180" s="414"/>
      <c r="L180" s="415" t="s">
        <v>25</v>
      </c>
    </row>
    <row r="181" spans="1:12" ht="18" customHeight="1" x14ac:dyDescent="0.3">
      <c r="A181" s="412"/>
      <c r="B181" s="412"/>
      <c r="C181" s="412" t="str">
        <f>MID(VLOOKUP('전체 훈련생 평가 채점표'!$L$2,'기초데이타(작성필히)'!$A$5:$P$19,9),18,50)</f>
        <v xml:space="preserve">  스마트문화앱UX설계</v>
      </c>
      <c r="D181" s="412"/>
      <c r="E181" s="412"/>
      <c r="F181" s="412"/>
      <c r="G181" s="413"/>
      <c r="H181" s="412"/>
      <c r="I181" s="412"/>
      <c r="J181" s="412"/>
      <c r="K181" s="414"/>
      <c r="L181" s="416"/>
    </row>
    <row r="182" spans="1:12" ht="18" customHeight="1" x14ac:dyDescent="0.3">
      <c r="A182" s="412" t="s">
        <v>79</v>
      </c>
      <c r="B182" s="412"/>
      <c r="C182" s="413" t="str">
        <f>'전체 훈련생 평가 채점표'!B13</f>
        <v>김영훈</v>
      </c>
      <c r="D182" s="413" t="s">
        <v>21</v>
      </c>
      <c r="E182" s="418" t="str">
        <f>VLOOKUP('전체 훈련생 평가 채점표'!$L$2,'기초데이타(작성필히)'!$A$5:$P$19,10)</f>
        <v>21.11.11~21.11.24</v>
      </c>
      <c r="F182" s="419"/>
      <c r="G182" s="420"/>
      <c r="H182" s="60" t="s">
        <v>80</v>
      </c>
      <c r="I182" s="61" t="s">
        <v>22</v>
      </c>
      <c r="J182" s="424" t="s">
        <v>81</v>
      </c>
      <c r="K182" s="425"/>
      <c r="L182" s="426"/>
    </row>
    <row r="183" spans="1:12" ht="18" customHeight="1" x14ac:dyDescent="0.3">
      <c r="A183" s="319"/>
      <c r="B183" s="319"/>
      <c r="C183" s="417"/>
      <c r="D183" s="417"/>
      <c r="E183" s="421"/>
      <c r="F183" s="422"/>
      <c r="G183" s="423"/>
      <c r="H183" s="62" t="s">
        <v>113</v>
      </c>
      <c r="I183" s="62">
        <f>VLOOKUP('전체 훈련생 평가 채점표'!$L$2,'기초데이타(작성필히)'!$A$5:$P$19,11)</f>
        <v>70</v>
      </c>
      <c r="J183" s="314" t="s">
        <v>113</v>
      </c>
      <c r="K183" s="314"/>
      <c r="L183" s="427"/>
    </row>
    <row r="184" spans="1:12" ht="18" customHeight="1" x14ac:dyDescent="0.3"/>
    <row r="185" spans="1:12" ht="18" customHeight="1" x14ac:dyDescent="0.3">
      <c r="A185" s="428" t="s">
        <v>82</v>
      </c>
      <c r="B185" s="429"/>
      <c r="C185" s="429"/>
      <c r="D185" s="431" t="s">
        <v>83</v>
      </c>
      <c r="E185" s="431"/>
      <c r="F185" s="431"/>
      <c r="G185" s="433" t="s">
        <v>84</v>
      </c>
      <c r="H185" s="434"/>
      <c r="I185" s="434"/>
      <c r="J185" s="434"/>
      <c r="K185" s="434"/>
      <c r="L185" s="435"/>
    </row>
    <row r="186" spans="1:12" ht="18" customHeight="1" x14ac:dyDescent="0.3">
      <c r="A186" s="430"/>
      <c r="B186" s="430"/>
      <c r="C186" s="430"/>
      <c r="D186" s="432"/>
      <c r="E186" s="432"/>
      <c r="F186" s="432"/>
      <c r="G186" s="436"/>
      <c r="H186" s="437"/>
      <c r="I186" s="437"/>
      <c r="J186" s="437"/>
      <c r="K186" s="437"/>
      <c r="L186" s="438"/>
    </row>
    <row r="187" spans="1:12" ht="18" customHeight="1" x14ac:dyDescent="0.3">
      <c r="A187" s="383" t="str">
        <f>$C182</f>
        <v>김영훈</v>
      </c>
      <c r="B187" s="439"/>
      <c r="C187" s="439"/>
      <c r="D187" s="441" t="str">
        <f>$H180</f>
        <v>이창훈</v>
      </c>
      <c r="E187" s="443" t="s">
        <v>25</v>
      </c>
      <c r="F187" s="444"/>
      <c r="G187" s="382" t="s">
        <v>85</v>
      </c>
      <c r="H187" s="447">
        <f>VLOOKUP('전체 훈련생 평가 채점표'!$L$2,'기초데이타(작성필히)'!$A$5:$P$19,13)</f>
        <v>44524</v>
      </c>
      <c r="I187" s="448"/>
      <c r="J187" s="448"/>
      <c r="K187" s="449"/>
      <c r="L187" s="391" t="s">
        <v>86</v>
      </c>
    </row>
    <row r="188" spans="1:12" ht="18" customHeight="1" x14ac:dyDescent="0.3">
      <c r="A188" s="440"/>
      <c r="B188" s="440"/>
      <c r="C188" s="440"/>
      <c r="D188" s="442"/>
      <c r="E188" s="445"/>
      <c r="F188" s="446"/>
      <c r="G188" s="384"/>
      <c r="H188" s="450"/>
      <c r="I188" s="451"/>
      <c r="J188" s="451"/>
      <c r="K188" s="452"/>
      <c r="L188" s="392"/>
    </row>
    <row r="189" spans="1:12" ht="18" customHeight="1" x14ac:dyDescent="0.3">
      <c r="A189" s="380" t="s">
        <v>87</v>
      </c>
      <c r="B189" s="380"/>
      <c r="C189" s="380"/>
      <c r="D189" s="382" t="str">
        <f>$C180</f>
        <v>[0803020911_18v3]</v>
      </c>
      <c r="E189" s="382"/>
      <c r="F189" s="382"/>
      <c r="G189" s="382" t="s">
        <v>88</v>
      </c>
      <c r="H189" s="385"/>
      <c r="I189" s="386"/>
      <c r="J189" s="386"/>
      <c r="K189" s="387"/>
      <c r="L189" s="391" t="s">
        <v>86</v>
      </c>
    </row>
    <row r="190" spans="1:12" ht="18" customHeight="1" x14ac:dyDescent="0.3">
      <c r="A190" s="381"/>
      <c r="B190" s="381"/>
      <c r="C190" s="381"/>
      <c r="D190" s="383"/>
      <c r="E190" s="383"/>
      <c r="F190" s="383"/>
      <c r="G190" s="384"/>
      <c r="H190" s="388"/>
      <c r="I190" s="389"/>
      <c r="J190" s="389"/>
      <c r="K190" s="390"/>
      <c r="L190" s="392"/>
    </row>
    <row r="191" spans="1:12" ht="18" customHeight="1" x14ac:dyDescent="0.3">
      <c r="A191" s="393" t="str">
        <f>VLOOKUP('전체 훈련생 평가 채점표'!$L$2,'기초데이타(작성필히)'!$A$5:$P$19,7)</f>
        <v>스타일가이드제작 및 시안디자인 제작2</v>
      </c>
      <c r="B191" s="393"/>
      <c r="C191" s="393"/>
      <c r="D191" s="383" t="str">
        <f>$C181</f>
        <v xml:space="preserve">  스마트문화앱UX설계</v>
      </c>
      <c r="E191" s="383"/>
      <c r="F191" s="383"/>
      <c r="G191" s="382" t="s">
        <v>89</v>
      </c>
      <c r="H191" s="385"/>
      <c r="I191" s="386"/>
      <c r="J191" s="386"/>
      <c r="K191" s="387"/>
      <c r="L191" s="391" t="s">
        <v>86</v>
      </c>
    </row>
    <row r="192" spans="1:12" ht="18" customHeight="1" x14ac:dyDescent="0.3">
      <c r="A192" s="394"/>
      <c r="B192" s="394"/>
      <c r="C192" s="394"/>
      <c r="D192" s="384"/>
      <c r="E192" s="384"/>
      <c r="F192" s="384"/>
      <c r="G192" s="384"/>
      <c r="H192" s="388"/>
      <c r="I192" s="389"/>
      <c r="J192" s="389"/>
      <c r="K192" s="390"/>
      <c r="L192" s="392"/>
    </row>
    <row r="193" spans="1:12" ht="18" customHeight="1" x14ac:dyDescent="0.3">
      <c r="A193" s="395" t="s">
        <v>90</v>
      </c>
      <c r="B193" s="396"/>
      <c r="C193" s="396"/>
      <c r="D193" s="396"/>
      <c r="E193" s="396"/>
      <c r="F193" s="397"/>
      <c r="G193" s="398" t="s">
        <v>91</v>
      </c>
      <c r="H193" s="399"/>
      <c r="I193" s="399"/>
      <c r="J193" s="399"/>
      <c r="K193" s="399"/>
      <c r="L193" s="400"/>
    </row>
    <row r="194" spans="1:12" ht="18" customHeight="1" x14ac:dyDescent="0.3">
      <c r="A194" s="395"/>
      <c r="B194" s="396"/>
      <c r="C194" s="396"/>
      <c r="D194" s="396"/>
      <c r="E194" s="396"/>
      <c r="F194" s="397"/>
      <c r="G194" s="401"/>
      <c r="H194" s="402"/>
      <c r="I194" s="402"/>
      <c r="J194" s="402"/>
      <c r="K194" s="402"/>
      <c r="L194" s="403"/>
    </row>
    <row r="195" spans="1:12" ht="18" customHeight="1" x14ac:dyDescent="0.3">
      <c r="A195" s="341" t="s">
        <v>126</v>
      </c>
      <c r="B195" s="342"/>
      <c r="C195" s="342"/>
      <c r="D195" s="342"/>
      <c r="E195" s="342"/>
      <c r="F195" s="343"/>
      <c r="G195" s="404" t="s">
        <v>92</v>
      </c>
      <c r="H195" s="406" t="s">
        <v>93</v>
      </c>
      <c r="I195" s="407"/>
      <c r="J195" s="407"/>
      <c r="K195" s="407"/>
      <c r="L195" s="408"/>
    </row>
    <row r="196" spans="1:12" ht="18" customHeight="1" x14ac:dyDescent="0.3">
      <c r="A196" s="341"/>
      <c r="B196" s="342"/>
      <c r="C196" s="342"/>
      <c r="D196" s="342"/>
      <c r="E196" s="342"/>
      <c r="F196" s="343"/>
      <c r="G196" s="405"/>
      <c r="H196" s="409"/>
      <c r="I196" s="410"/>
      <c r="J196" s="410"/>
      <c r="K196" s="410"/>
      <c r="L196" s="411"/>
    </row>
    <row r="197" spans="1:12" ht="18" customHeight="1" x14ac:dyDescent="0.3">
      <c r="A197" s="341"/>
      <c r="B197" s="342"/>
      <c r="C197" s="342"/>
      <c r="D197" s="342"/>
      <c r="E197" s="342"/>
      <c r="F197" s="343"/>
      <c r="G197" s="323" t="str">
        <f>IF($J215&gt;=90,"○","")</f>
        <v>○</v>
      </c>
      <c r="H197" s="326" t="s">
        <v>94</v>
      </c>
      <c r="I197" s="327"/>
      <c r="J197" s="327"/>
      <c r="K197" s="327"/>
      <c r="L197" s="328"/>
    </row>
    <row r="198" spans="1:12" ht="18" customHeight="1" x14ac:dyDescent="0.3">
      <c r="A198" s="341"/>
      <c r="B198" s="342"/>
      <c r="C198" s="342"/>
      <c r="D198" s="342"/>
      <c r="E198" s="342"/>
      <c r="F198" s="343"/>
      <c r="G198" s="324"/>
      <c r="H198" s="329"/>
      <c r="I198" s="330"/>
      <c r="J198" s="330"/>
      <c r="K198" s="330"/>
      <c r="L198" s="331"/>
    </row>
    <row r="199" spans="1:12" ht="18" customHeight="1" x14ac:dyDescent="0.3">
      <c r="A199" s="341"/>
      <c r="B199" s="342"/>
      <c r="C199" s="342"/>
      <c r="D199" s="342"/>
      <c r="E199" s="342"/>
      <c r="F199" s="343"/>
      <c r="G199" s="325"/>
      <c r="H199" s="332"/>
      <c r="I199" s="333"/>
      <c r="J199" s="333"/>
      <c r="K199" s="333"/>
      <c r="L199" s="334"/>
    </row>
    <row r="200" spans="1:12" ht="18" customHeight="1" x14ac:dyDescent="0.3">
      <c r="A200" s="341"/>
      <c r="B200" s="342"/>
      <c r="C200" s="342"/>
      <c r="D200" s="342"/>
      <c r="E200" s="342"/>
      <c r="F200" s="343"/>
      <c r="G200" s="323" t="str">
        <f>IF(AND($J215&lt;=89.9,$J215&gt;=80),"○","")</f>
        <v/>
      </c>
      <c r="H200" s="326" t="s">
        <v>95</v>
      </c>
      <c r="I200" s="327"/>
      <c r="J200" s="327"/>
      <c r="K200" s="327"/>
      <c r="L200" s="328"/>
    </row>
    <row r="201" spans="1:12" ht="18" customHeight="1" x14ac:dyDescent="0.3">
      <c r="A201" s="341"/>
      <c r="B201" s="342"/>
      <c r="C201" s="342"/>
      <c r="D201" s="342"/>
      <c r="E201" s="342"/>
      <c r="F201" s="343"/>
      <c r="G201" s="324"/>
      <c r="H201" s="329"/>
      <c r="I201" s="330"/>
      <c r="J201" s="330"/>
      <c r="K201" s="330"/>
      <c r="L201" s="331"/>
    </row>
    <row r="202" spans="1:12" ht="18" customHeight="1" x14ac:dyDescent="0.3">
      <c r="A202" s="341"/>
      <c r="B202" s="342"/>
      <c r="C202" s="342"/>
      <c r="D202" s="342"/>
      <c r="E202" s="342"/>
      <c r="F202" s="343"/>
      <c r="G202" s="325"/>
      <c r="H202" s="332"/>
      <c r="I202" s="333"/>
      <c r="J202" s="333"/>
      <c r="K202" s="333"/>
      <c r="L202" s="334"/>
    </row>
    <row r="203" spans="1:12" ht="18" customHeight="1" x14ac:dyDescent="0.3">
      <c r="A203" s="341"/>
      <c r="B203" s="342"/>
      <c r="C203" s="342"/>
      <c r="D203" s="342"/>
      <c r="E203" s="342"/>
      <c r="F203" s="343"/>
      <c r="G203" s="323" t="str">
        <f>IF(AND($J215&lt;=79.9,$J215&gt;=70),"○","")</f>
        <v/>
      </c>
      <c r="H203" s="326" t="s">
        <v>96</v>
      </c>
      <c r="I203" s="327"/>
      <c r="J203" s="327"/>
      <c r="K203" s="327"/>
      <c r="L203" s="328"/>
    </row>
    <row r="204" spans="1:12" ht="18" customHeight="1" x14ac:dyDescent="0.3">
      <c r="A204" s="341"/>
      <c r="B204" s="342"/>
      <c r="C204" s="342"/>
      <c r="D204" s="342"/>
      <c r="E204" s="342"/>
      <c r="F204" s="343"/>
      <c r="G204" s="324"/>
      <c r="H204" s="329"/>
      <c r="I204" s="330"/>
      <c r="J204" s="330"/>
      <c r="K204" s="330"/>
      <c r="L204" s="331"/>
    </row>
    <row r="205" spans="1:12" ht="18" customHeight="1" x14ac:dyDescent="0.3">
      <c r="A205" s="344" t="str">
        <f>"- "&amp;'전체 훈련생 평가 채점표'!$G$8</f>
        <v>- 0</v>
      </c>
      <c r="B205" s="345"/>
      <c r="C205" s="345"/>
      <c r="D205" s="345"/>
      <c r="E205" s="345"/>
      <c r="F205" s="346"/>
      <c r="G205" s="325"/>
      <c r="H205" s="332"/>
      <c r="I205" s="333"/>
      <c r="J205" s="333"/>
      <c r="K205" s="333"/>
      <c r="L205" s="334"/>
    </row>
    <row r="206" spans="1:12" ht="18" customHeight="1" x14ac:dyDescent="0.3">
      <c r="A206" s="344" t="str">
        <f>"- "&amp;'전체 훈련생 평가 채점표'!$F$8</f>
        <v>- 포트폴리오</v>
      </c>
      <c r="B206" s="345"/>
      <c r="C206" s="345"/>
      <c r="D206" s="345"/>
      <c r="E206" s="345"/>
      <c r="F206" s="346"/>
      <c r="G206" s="323" t="str">
        <f>IF(AND($J215&lt;=69.9,$J215&gt;=60),"○","")</f>
        <v/>
      </c>
      <c r="H206" s="326" t="s">
        <v>97</v>
      </c>
      <c r="I206" s="327"/>
      <c r="J206" s="327"/>
      <c r="K206" s="327"/>
      <c r="L206" s="328"/>
    </row>
    <row r="207" spans="1:12" ht="18" customHeight="1" x14ac:dyDescent="0.3">
      <c r="A207" s="347"/>
      <c r="B207" s="348"/>
      <c r="C207" s="348"/>
      <c r="D207" s="348"/>
      <c r="E207" s="348"/>
      <c r="F207" s="349"/>
      <c r="G207" s="324"/>
      <c r="H207" s="329"/>
      <c r="I207" s="330"/>
      <c r="J207" s="330"/>
      <c r="K207" s="330"/>
      <c r="L207" s="331"/>
    </row>
    <row r="208" spans="1:12" ht="18" customHeight="1" x14ac:dyDescent="0.3">
      <c r="A208" s="347"/>
      <c r="B208" s="348"/>
      <c r="C208" s="348"/>
      <c r="D208" s="348"/>
      <c r="E208" s="348"/>
      <c r="F208" s="349"/>
      <c r="G208" s="325"/>
      <c r="H208" s="332"/>
      <c r="I208" s="333"/>
      <c r="J208" s="333"/>
      <c r="K208" s="333"/>
      <c r="L208" s="334"/>
    </row>
    <row r="209" spans="1:12" ht="18" customHeight="1" x14ac:dyDescent="0.3">
      <c r="A209" s="347"/>
      <c r="B209" s="348"/>
      <c r="C209" s="348"/>
      <c r="D209" s="348"/>
      <c r="E209" s="348"/>
      <c r="F209" s="349"/>
      <c r="G209" s="323" t="str">
        <f>IF($J215&lt;=59.9,"○","")</f>
        <v/>
      </c>
      <c r="H209" s="326" t="s">
        <v>98</v>
      </c>
      <c r="I209" s="327"/>
      <c r="J209" s="327"/>
      <c r="K209" s="327"/>
      <c r="L209" s="328"/>
    </row>
    <row r="210" spans="1:12" ht="18" customHeight="1" x14ac:dyDescent="0.3">
      <c r="A210" s="347"/>
      <c r="B210" s="348"/>
      <c r="C210" s="348"/>
      <c r="D210" s="348"/>
      <c r="E210" s="348"/>
      <c r="F210" s="349"/>
      <c r="G210" s="324"/>
      <c r="H210" s="329"/>
      <c r="I210" s="330"/>
      <c r="J210" s="330"/>
      <c r="K210" s="330"/>
      <c r="L210" s="331"/>
    </row>
    <row r="211" spans="1:12" ht="18" customHeight="1" x14ac:dyDescent="0.3">
      <c r="A211" s="347"/>
      <c r="B211" s="348"/>
      <c r="C211" s="348"/>
      <c r="D211" s="348"/>
      <c r="E211" s="348"/>
      <c r="F211" s="349"/>
      <c r="G211" s="325"/>
      <c r="H211" s="332"/>
      <c r="I211" s="333"/>
      <c r="J211" s="333"/>
      <c r="K211" s="333"/>
      <c r="L211" s="334"/>
    </row>
    <row r="212" spans="1:12" ht="18" customHeight="1" x14ac:dyDescent="0.3">
      <c r="A212" s="347"/>
      <c r="B212" s="348"/>
      <c r="C212" s="348"/>
      <c r="D212" s="348"/>
      <c r="E212" s="348"/>
      <c r="F212" s="349"/>
      <c r="G212" s="335" t="s">
        <v>99</v>
      </c>
      <c r="H212" s="336"/>
      <c r="I212" s="336"/>
      <c r="J212" s="336"/>
      <c r="K212" s="336"/>
      <c r="L212" s="337"/>
    </row>
    <row r="213" spans="1:12" ht="18" customHeight="1" x14ac:dyDescent="0.3">
      <c r="A213" s="350"/>
      <c r="B213" s="351"/>
      <c r="C213" s="351"/>
      <c r="D213" s="351"/>
      <c r="E213" s="351"/>
      <c r="F213" s="352"/>
      <c r="G213" s="338"/>
      <c r="H213" s="339"/>
      <c r="I213" s="339"/>
      <c r="J213" s="339"/>
      <c r="K213" s="339"/>
      <c r="L213" s="340"/>
    </row>
    <row r="214" spans="1:12" ht="18" customHeight="1" x14ac:dyDescent="0.3">
      <c r="A214" s="353">
        <f>A170</f>
        <v>0</v>
      </c>
      <c r="B214" s="354"/>
      <c r="C214" s="355"/>
      <c r="D214" s="356"/>
      <c r="E214" s="357"/>
      <c r="F214" s="357"/>
      <c r="G214" s="357"/>
      <c r="H214" s="357"/>
      <c r="I214" s="358"/>
      <c r="J214" s="359" t="s">
        <v>125</v>
      </c>
      <c r="K214" s="360"/>
      <c r="L214" s="361"/>
    </row>
    <row r="215" spans="1:12" ht="18" customHeight="1" x14ac:dyDescent="0.3">
      <c r="A215" s="362" t="str">
        <f>A171</f>
        <v>포트폴리오</v>
      </c>
      <c r="B215" s="363"/>
      <c r="C215" s="364"/>
      <c r="D215" s="365">
        <f>'전체 훈련생 평가 채점표'!F13</f>
        <v>91.428571428571431</v>
      </c>
      <c r="E215" s="366"/>
      <c r="F215" s="366"/>
      <c r="G215" s="366"/>
      <c r="H215" s="366"/>
      <c r="I215" s="367"/>
      <c r="J215" s="368">
        <f>IFERROR((D214+D215+D216),0)</f>
        <v>91.428571428571431</v>
      </c>
      <c r="K215" s="369"/>
      <c r="L215" s="370"/>
    </row>
    <row r="216" spans="1:12" ht="18" customHeight="1" x14ac:dyDescent="0.3">
      <c r="A216" s="374">
        <f>A172</f>
        <v>0</v>
      </c>
      <c r="B216" s="375"/>
      <c r="C216" s="376"/>
      <c r="D216" s="377">
        <f>'전체 훈련생 평가 채점표'!G13</f>
        <v>0</v>
      </c>
      <c r="E216" s="378"/>
      <c r="F216" s="378"/>
      <c r="G216" s="378"/>
      <c r="H216" s="378"/>
      <c r="I216" s="379"/>
      <c r="J216" s="371"/>
      <c r="K216" s="372"/>
      <c r="L216" s="373"/>
    </row>
    <row r="217" spans="1:12" ht="18" customHeight="1" x14ac:dyDescent="0.3">
      <c r="A217" s="303" t="s">
        <v>11</v>
      </c>
      <c r="B217" s="304"/>
      <c r="C217" s="304"/>
      <c r="D217" s="304"/>
      <c r="E217" s="304"/>
      <c r="F217" s="304"/>
      <c r="G217" s="304"/>
      <c r="H217" s="304"/>
      <c r="I217" s="304"/>
      <c r="J217" s="304"/>
      <c r="K217" s="304"/>
      <c r="L217" s="305"/>
    </row>
    <row r="218" spans="1:12" ht="18" customHeight="1" x14ac:dyDescent="0.3">
      <c r="A218" s="306" t="s">
        <v>100</v>
      </c>
      <c r="B218" s="307"/>
      <c r="C218" s="307"/>
      <c r="D218" s="307"/>
      <c r="E218" s="307"/>
      <c r="F218" s="307"/>
      <c r="G218" s="307"/>
      <c r="H218" s="307"/>
      <c r="I218" s="307"/>
      <c r="J218" s="307"/>
      <c r="K218" s="307"/>
      <c r="L218" s="308"/>
    </row>
    <row r="219" spans="1:12" ht="18" customHeight="1" x14ac:dyDescent="0.3">
      <c r="A219" s="309" t="s">
        <v>92</v>
      </c>
      <c r="B219" s="309"/>
      <c r="C219" s="309"/>
      <c r="D219" s="310" t="s">
        <v>101</v>
      </c>
      <c r="E219" s="311"/>
      <c r="F219" s="310" t="s">
        <v>102</v>
      </c>
      <c r="G219" s="312"/>
      <c r="H219" s="311"/>
      <c r="I219" s="313">
        <f>$J215</f>
        <v>91.428571428571431</v>
      </c>
      <c r="J219" s="313"/>
      <c r="K219" s="315" t="s">
        <v>103</v>
      </c>
      <c r="L219" s="316"/>
    </row>
    <row r="220" spans="1:12" ht="18" customHeight="1" x14ac:dyDescent="0.3">
      <c r="A220" s="319" t="s">
        <v>104</v>
      </c>
      <c r="B220" s="319"/>
      <c r="C220" s="319"/>
      <c r="D220" s="320" t="s">
        <v>105</v>
      </c>
      <c r="E220" s="321"/>
      <c r="F220" s="320" t="s">
        <v>106</v>
      </c>
      <c r="G220" s="322"/>
      <c r="H220" s="321"/>
      <c r="I220" s="314"/>
      <c r="J220" s="314"/>
      <c r="K220" s="317"/>
      <c r="L220" s="318"/>
    </row>
    <row r="221" spans="1:12" ht="21.95" customHeight="1" x14ac:dyDescent="0.3">
      <c r="A221" s="453" t="str">
        <f>MID(VLOOKUP('전체 훈련생 평가 채점표'!$L$2,'기초데이타(작성필히)'!$A$5:$P$19,9),18,50)&amp;" 수행평가"</f>
        <v xml:space="preserve">  스마트문화앱UX설계 수행평가</v>
      </c>
      <c r="B221" s="453"/>
      <c r="C221" s="453"/>
      <c r="D221" s="453"/>
      <c r="E221" s="453"/>
      <c r="F221" s="453"/>
      <c r="G221" s="453"/>
      <c r="H221" s="453"/>
      <c r="I221" s="453"/>
      <c r="J221" s="453"/>
      <c r="K221" s="453"/>
      <c r="L221" s="453"/>
    </row>
    <row r="222" spans="1:12" ht="18" customHeight="1" x14ac:dyDescent="0.3">
      <c r="A222" s="309" t="s">
        <v>16</v>
      </c>
      <c r="B222" s="454">
        <f>VLOOKUP('전체 훈련생 평가 채점표'!$L$2,'기초데이타(작성필히)'!$A$5:$P$19,3)</f>
        <v>2021</v>
      </c>
      <c r="C222" s="454" t="s">
        <v>17</v>
      </c>
      <c r="D222" s="455" t="str">
        <f>VLOOKUP('전체 훈련생 평가 채점표'!$L$2,'기초데이타(작성필히)'!$A$5:$P$19,4)</f>
        <v>[디지털디자인]반응형 웹디자인(UIUX) &amp; 웹퍼블리셔 디지털 실무 양성과정 A-5</v>
      </c>
      <c r="E222" s="455"/>
      <c r="F222" s="455"/>
      <c r="G222" s="454" t="s">
        <v>18</v>
      </c>
      <c r="H222" s="359" t="str">
        <f>VLOOKUP('전체 훈련생 평가 채점표'!$L$2,'기초데이타(작성필히)'!$A$5:$P$19,5)</f>
        <v>21.08.31 ~ 22.02.07</v>
      </c>
      <c r="I222" s="360"/>
      <c r="J222" s="361"/>
      <c r="K222" s="460" t="s">
        <v>78</v>
      </c>
      <c r="L222" s="309" t="str">
        <f>VLOOKUP('전체 훈련생 평가 채점표'!$L$2,'기초데이타(작성필히)'!$A$5:$P$19,6)</f>
        <v>760H</v>
      </c>
    </row>
    <row r="223" spans="1:12" ht="18" customHeight="1" x14ac:dyDescent="0.3">
      <c r="A223" s="412"/>
      <c r="B223" s="413"/>
      <c r="C223" s="413"/>
      <c r="D223" s="456"/>
      <c r="E223" s="456"/>
      <c r="F223" s="456"/>
      <c r="G223" s="413"/>
      <c r="H223" s="457"/>
      <c r="I223" s="458"/>
      <c r="J223" s="459"/>
      <c r="K223" s="461"/>
      <c r="L223" s="412"/>
    </row>
    <row r="224" spans="1:12" ht="18" customHeight="1" x14ac:dyDescent="0.3">
      <c r="A224" s="412" t="s">
        <v>23</v>
      </c>
      <c r="B224" s="412"/>
      <c r="C224" s="412" t="str">
        <f>LEFT(VLOOKUP('전체 훈련생 평가 채점표'!$L$2,'기초데이타(작성필히)'!$A$5:$P$19,9),17)</f>
        <v>[0803020911_18v3]</v>
      </c>
      <c r="D224" s="412"/>
      <c r="E224" s="412"/>
      <c r="F224" s="412"/>
      <c r="G224" s="413" t="s">
        <v>24</v>
      </c>
      <c r="H224" s="412" t="str">
        <f>VLOOKUP('전체 훈련생 평가 채점표'!$L$2,'기초데이타(작성필히)'!$A$5:$P$19,12)</f>
        <v>이창훈</v>
      </c>
      <c r="I224" s="412"/>
      <c r="J224" s="412"/>
      <c r="K224" s="414"/>
      <c r="L224" s="415" t="s">
        <v>25</v>
      </c>
    </row>
    <row r="225" spans="1:12" ht="18" customHeight="1" x14ac:dyDescent="0.3">
      <c r="A225" s="412"/>
      <c r="B225" s="412"/>
      <c r="C225" s="412" t="str">
        <f>MID(VLOOKUP('전체 훈련생 평가 채점표'!$L$2,'기초데이타(작성필히)'!$A$5:$P$19,9),18,50)</f>
        <v xml:space="preserve">  스마트문화앱UX설계</v>
      </c>
      <c r="D225" s="412"/>
      <c r="E225" s="412"/>
      <c r="F225" s="412"/>
      <c r="G225" s="413"/>
      <c r="H225" s="412"/>
      <c r="I225" s="412"/>
      <c r="J225" s="412"/>
      <c r="K225" s="414"/>
      <c r="L225" s="416"/>
    </row>
    <row r="226" spans="1:12" ht="18" customHeight="1" x14ac:dyDescent="0.3">
      <c r="A226" s="412" t="s">
        <v>79</v>
      </c>
      <c r="B226" s="412"/>
      <c r="C226" s="413" t="str">
        <f>'전체 훈련생 평가 채점표'!B14</f>
        <v>김은지</v>
      </c>
      <c r="D226" s="413" t="s">
        <v>21</v>
      </c>
      <c r="E226" s="418" t="str">
        <f>VLOOKUP('전체 훈련생 평가 채점표'!$L$2,'기초데이타(작성필히)'!$A$5:$P$19,10)</f>
        <v>21.11.11~21.11.24</v>
      </c>
      <c r="F226" s="419"/>
      <c r="G226" s="420"/>
      <c r="H226" s="60" t="s">
        <v>80</v>
      </c>
      <c r="I226" s="61" t="s">
        <v>22</v>
      </c>
      <c r="J226" s="424" t="s">
        <v>81</v>
      </c>
      <c r="K226" s="425"/>
      <c r="L226" s="426"/>
    </row>
    <row r="227" spans="1:12" ht="18" customHeight="1" x14ac:dyDescent="0.3">
      <c r="A227" s="319"/>
      <c r="B227" s="319"/>
      <c r="C227" s="417"/>
      <c r="D227" s="417"/>
      <c r="E227" s="421"/>
      <c r="F227" s="422"/>
      <c r="G227" s="423"/>
      <c r="H227" s="62" t="s">
        <v>113</v>
      </c>
      <c r="I227" s="62">
        <f>VLOOKUP('전체 훈련생 평가 채점표'!$L$2,'기초데이타(작성필히)'!$A$5:$P$19,11)</f>
        <v>70</v>
      </c>
      <c r="J227" s="314" t="s">
        <v>113</v>
      </c>
      <c r="K227" s="314"/>
      <c r="L227" s="427"/>
    </row>
    <row r="228" spans="1:12" ht="18" customHeight="1" x14ac:dyDescent="0.3"/>
    <row r="229" spans="1:12" ht="18" customHeight="1" x14ac:dyDescent="0.3">
      <c r="A229" s="428" t="s">
        <v>82</v>
      </c>
      <c r="B229" s="429"/>
      <c r="C229" s="429"/>
      <c r="D229" s="431" t="s">
        <v>83</v>
      </c>
      <c r="E229" s="431"/>
      <c r="F229" s="431"/>
      <c r="G229" s="433" t="s">
        <v>84</v>
      </c>
      <c r="H229" s="434"/>
      <c r="I229" s="434"/>
      <c r="J229" s="434"/>
      <c r="K229" s="434"/>
      <c r="L229" s="435"/>
    </row>
    <row r="230" spans="1:12" ht="18" customHeight="1" x14ac:dyDescent="0.3">
      <c r="A230" s="430"/>
      <c r="B230" s="430"/>
      <c r="C230" s="430"/>
      <c r="D230" s="432"/>
      <c r="E230" s="432"/>
      <c r="F230" s="432"/>
      <c r="G230" s="436"/>
      <c r="H230" s="437"/>
      <c r="I230" s="437"/>
      <c r="J230" s="437"/>
      <c r="K230" s="437"/>
      <c r="L230" s="438"/>
    </row>
    <row r="231" spans="1:12" ht="18" customHeight="1" x14ac:dyDescent="0.3">
      <c r="A231" s="383" t="str">
        <f>$C226</f>
        <v>김은지</v>
      </c>
      <c r="B231" s="439"/>
      <c r="C231" s="439"/>
      <c r="D231" s="441" t="str">
        <f>$H224</f>
        <v>이창훈</v>
      </c>
      <c r="E231" s="443" t="s">
        <v>25</v>
      </c>
      <c r="F231" s="444"/>
      <c r="G231" s="382" t="s">
        <v>85</v>
      </c>
      <c r="H231" s="447">
        <f>VLOOKUP('전체 훈련생 평가 채점표'!$L$2,'기초데이타(작성필히)'!$A$5:$P$19,13)</f>
        <v>44524</v>
      </c>
      <c r="I231" s="448"/>
      <c r="J231" s="448"/>
      <c r="K231" s="449"/>
      <c r="L231" s="391" t="s">
        <v>86</v>
      </c>
    </row>
    <row r="232" spans="1:12" ht="18" customHeight="1" x14ac:dyDescent="0.3">
      <c r="A232" s="440"/>
      <c r="B232" s="440"/>
      <c r="C232" s="440"/>
      <c r="D232" s="442"/>
      <c r="E232" s="445"/>
      <c r="F232" s="446"/>
      <c r="G232" s="384"/>
      <c r="H232" s="450"/>
      <c r="I232" s="451"/>
      <c r="J232" s="451"/>
      <c r="K232" s="452"/>
      <c r="L232" s="392"/>
    </row>
    <row r="233" spans="1:12" ht="18" customHeight="1" x14ac:dyDescent="0.3">
      <c r="A233" s="380" t="s">
        <v>87</v>
      </c>
      <c r="B233" s="380"/>
      <c r="C233" s="380"/>
      <c r="D233" s="382" t="str">
        <f>$C224</f>
        <v>[0803020911_18v3]</v>
      </c>
      <c r="E233" s="382"/>
      <c r="F233" s="382"/>
      <c r="G233" s="382" t="s">
        <v>88</v>
      </c>
      <c r="H233" s="385"/>
      <c r="I233" s="386"/>
      <c r="J233" s="386"/>
      <c r="K233" s="387"/>
      <c r="L233" s="391" t="s">
        <v>86</v>
      </c>
    </row>
    <row r="234" spans="1:12" ht="18" customHeight="1" x14ac:dyDescent="0.3">
      <c r="A234" s="381"/>
      <c r="B234" s="381"/>
      <c r="C234" s="381"/>
      <c r="D234" s="383"/>
      <c r="E234" s="383"/>
      <c r="F234" s="383"/>
      <c r="G234" s="384"/>
      <c r="H234" s="388"/>
      <c r="I234" s="389"/>
      <c r="J234" s="389"/>
      <c r="K234" s="390"/>
      <c r="L234" s="392"/>
    </row>
    <row r="235" spans="1:12" ht="18" customHeight="1" x14ac:dyDescent="0.3">
      <c r="A235" s="393" t="str">
        <f>VLOOKUP('전체 훈련생 평가 채점표'!$L$2,'기초데이타(작성필히)'!$A$5:$P$19,7)</f>
        <v>스타일가이드제작 및 시안디자인 제작2</v>
      </c>
      <c r="B235" s="393"/>
      <c r="C235" s="393"/>
      <c r="D235" s="383" t="str">
        <f>$C225</f>
        <v xml:space="preserve">  스마트문화앱UX설계</v>
      </c>
      <c r="E235" s="383"/>
      <c r="F235" s="383"/>
      <c r="G235" s="382" t="s">
        <v>89</v>
      </c>
      <c r="H235" s="385"/>
      <c r="I235" s="386"/>
      <c r="J235" s="386"/>
      <c r="K235" s="387"/>
      <c r="L235" s="391" t="s">
        <v>86</v>
      </c>
    </row>
    <row r="236" spans="1:12" ht="18" customHeight="1" x14ac:dyDescent="0.3">
      <c r="A236" s="394"/>
      <c r="B236" s="394"/>
      <c r="C236" s="394"/>
      <c r="D236" s="384"/>
      <c r="E236" s="384"/>
      <c r="F236" s="384"/>
      <c r="G236" s="384"/>
      <c r="H236" s="388"/>
      <c r="I236" s="389"/>
      <c r="J236" s="389"/>
      <c r="K236" s="390"/>
      <c r="L236" s="392"/>
    </row>
    <row r="237" spans="1:12" ht="18" customHeight="1" x14ac:dyDescent="0.3">
      <c r="A237" s="395" t="s">
        <v>90</v>
      </c>
      <c r="B237" s="396"/>
      <c r="C237" s="396"/>
      <c r="D237" s="396"/>
      <c r="E237" s="396"/>
      <c r="F237" s="397"/>
      <c r="G237" s="398" t="s">
        <v>91</v>
      </c>
      <c r="H237" s="399"/>
      <c r="I237" s="399"/>
      <c r="J237" s="399"/>
      <c r="K237" s="399"/>
      <c r="L237" s="400"/>
    </row>
    <row r="238" spans="1:12" ht="18" customHeight="1" x14ac:dyDescent="0.3">
      <c r="A238" s="395"/>
      <c r="B238" s="396"/>
      <c r="C238" s="396"/>
      <c r="D238" s="396"/>
      <c r="E238" s="396"/>
      <c r="F238" s="397"/>
      <c r="G238" s="401"/>
      <c r="H238" s="402"/>
      <c r="I238" s="402"/>
      <c r="J238" s="402"/>
      <c r="K238" s="402"/>
      <c r="L238" s="403"/>
    </row>
    <row r="239" spans="1:12" ht="18" customHeight="1" x14ac:dyDescent="0.3">
      <c r="A239" s="341" t="s">
        <v>126</v>
      </c>
      <c r="B239" s="342"/>
      <c r="C239" s="342"/>
      <c r="D239" s="342"/>
      <c r="E239" s="342"/>
      <c r="F239" s="343"/>
      <c r="G239" s="404" t="s">
        <v>92</v>
      </c>
      <c r="H239" s="406" t="s">
        <v>93</v>
      </c>
      <c r="I239" s="407"/>
      <c r="J239" s="407"/>
      <c r="K239" s="407"/>
      <c r="L239" s="408"/>
    </row>
    <row r="240" spans="1:12" ht="18" customHeight="1" x14ac:dyDescent="0.3">
      <c r="A240" s="341"/>
      <c r="B240" s="342"/>
      <c r="C240" s="342"/>
      <c r="D240" s="342"/>
      <c r="E240" s="342"/>
      <c r="F240" s="343"/>
      <c r="G240" s="405"/>
      <c r="H240" s="409"/>
      <c r="I240" s="410"/>
      <c r="J240" s="410"/>
      <c r="K240" s="410"/>
      <c r="L240" s="411"/>
    </row>
    <row r="241" spans="1:12" ht="18" customHeight="1" x14ac:dyDescent="0.3">
      <c r="A241" s="341"/>
      <c r="B241" s="342"/>
      <c r="C241" s="342"/>
      <c r="D241" s="342"/>
      <c r="E241" s="342"/>
      <c r="F241" s="343"/>
      <c r="G241" s="323" t="str">
        <f>IF($J259&gt;=90,"○","")</f>
        <v>○</v>
      </c>
      <c r="H241" s="326" t="s">
        <v>94</v>
      </c>
      <c r="I241" s="327"/>
      <c r="J241" s="327"/>
      <c r="K241" s="327"/>
      <c r="L241" s="328"/>
    </row>
    <row r="242" spans="1:12" ht="18" customHeight="1" x14ac:dyDescent="0.3">
      <c r="A242" s="341"/>
      <c r="B242" s="342"/>
      <c r="C242" s="342"/>
      <c r="D242" s="342"/>
      <c r="E242" s="342"/>
      <c r="F242" s="343"/>
      <c r="G242" s="324"/>
      <c r="H242" s="329"/>
      <c r="I242" s="330"/>
      <c r="J242" s="330"/>
      <c r="K242" s="330"/>
      <c r="L242" s="331"/>
    </row>
    <row r="243" spans="1:12" ht="18" customHeight="1" x14ac:dyDescent="0.3">
      <c r="A243" s="341"/>
      <c r="B243" s="342"/>
      <c r="C243" s="342"/>
      <c r="D243" s="342"/>
      <c r="E243" s="342"/>
      <c r="F243" s="343"/>
      <c r="G243" s="325"/>
      <c r="H243" s="332"/>
      <c r="I243" s="333"/>
      <c r="J243" s="333"/>
      <c r="K243" s="333"/>
      <c r="L243" s="334"/>
    </row>
    <row r="244" spans="1:12" ht="18" customHeight="1" x14ac:dyDescent="0.3">
      <c r="A244" s="341"/>
      <c r="B244" s="342"/>
      <c r="C244" s="342"/>
      <c r="D244" s="342"/>
      <c r="E244" s="342"/>
      <c r="F244" s="343"/>
      <c r="G244" s="323" t="str">
        <f>IF(AND($J259&lt;=89.9,$J259&gt;=80),"○","")</f>
        <v/>
      </c>
      <c r="H244" s="326" t="s">
        <v>95</v>
      </c>
      <c r="I244" s="327"/>
      <c r="J244" s="327"/>
      <c r="K244" s="327"/>
      <c r="L244" s="328"/>
    </row>
    <row r="245" spans="1:12" ht="18" customHeight="1" x14ac:dyDescent="0.3">
      <c r="A245" s="341"/>
      <c r="B245" s="342"/>
      <c r="C245" s="342"/>
      <c r="D245" s="342"/>
      <c r="E245" s="342"/>
      <c r="F245" s="343"/>
      <c r="G245" s="324"/>
      <c r="H245" s="329"/>
      <c r="I245" s="330"/>
      <c r="J245" s="330"/>
      <c r="K245" s="330"/>
      <c r="L245" s="331"/>
    </row>
    <row r="246" spans="1:12" ht="18" customHeight="1" x14ac:dyDescent="0.3">
      <c r="A246" s="341"/>
      <c r="B246" s="342"/>
      <c r="C246" s="342"/>
      <c r="D246" s="342"/>
      <c r="E246" s="342"/>
      <c r="F246" s="343"/>
      <c r="G246" s="325"/>
      <c r="H246" s="332"/>
      <c r="I246" s="333"/>
      <c r="J246" s="333"/>
      <c r="K246" s="333"/>
      <c r="L246" s="334"/>
    </row>
    <row r="247" spans="1:12" ht="18" customHeight="1" x14ac:dyDescent="0.3">
      <c r="A247" s="341"/>
      <c r="B247" s="342"/>
      <c r="C247" s="342"/>
      <c r="D247" s="342"/>
      <c r="E247" s="342"/>
      <c r="F247" s="343"/>
      <c r="G247" s="323" t="str">
        <f>IF(AND($J259&lt;=79.9,$J259&gt;=70),"○","")</f>
        <v/>
      </c>
      <c r="H247" s="326" t="s">
        <v>96</v>
      </c>
      <c r="I247" s="327"/>
      <c r="J247" s="327"/>
      <c r="K247" s="327"/>
      <c r="L247" s="328"/>
    </row>
    <row r="248" spans="1:12" ht="18" customHeight="1" x14ac:dyDescent="0.3">
      <c r="A248" s="341"/>
      <c r="B248" s="342"/>
      <c r="C248" s="342"/>
      <c r="D248" s="342"/>
      <c r="E248" s="342"/>
      <c r="F248" s="343"/>
      <c r="G248" s="324"/>
      <c r="H248" s="329"/>
      <c r="I248" s="330"/>
      <c r="J248" s="330"/>
      <c r="K248" s="330"/>
      <c r="L248" s="331"/>
    </row>
    <row r="249" spans="1:12" ht="18" customHeight="1" x14ac:dyDescent="0.3">
      <c r="A249" s="344" t="str">
        <f>"- "&amp;'전체 훈련생 평가 채점표'!$G$8</f>
        <v>- 0</v>
      </c>
      <c r="B249" s="345"/>
      <c r="C249" s="345"/>
      <c r="D249" s="345"/>
      <c r="E249" s="345"/>
      <c r="F249" s="346"/>
      <c r="G249" s="325"/>
      <c r="H249" s="332"/>
      <c r="I249" s="333"/>
      <c r="J249" s="333"/>
      <c r="K249" s="333"/>
      <c r="L249" s="334"/>
    </row>
    <row r="250" spans="1:12" ht="18" customHeight="1" x14ac:dyDescent="0.3">
      <c r="A250" s="344" t="str">
        <f>"- "&amp;'전체 훈련생 평가 채점표'!$F$8</f>
        <v>- 포트폴리오</v>
      </c>
      <c r="B250" s="345"/>
      <c r="C250" s="345"/>
      <c r="D250" s="345"/>
      <c r="E250" s="345"/>
      <c r="F250" s="346"/>
      <c r="G250" s="323" t="str">
        <f>IF(AND($J259&lt;=69.9,$J259&gt;=60),"○","")</f>
        <v/>
      </c>
      <c r="H250" s="326" t="s">
        <v>97</v>
      </c>
      <c r="I250" s="327"/>
      <c r="J250" s="327"/>
      <c r="K250" s="327"/>
      <c r="L250" s="328"/>
    </row>
    <row r="251" spans="1:12" ht="18" customHeight="1" x14ac:dyDescent="0.3">
      <c r="A251" s="347"/>
      <c r="B251" s="348"/>
      <c r="C251" s="348"/>
      <c r="D251" s="348"/>
      <c r="E251" s="348"/>
      <c r="F251" s="349"/>
      <c r="G251" s="324"/>
      <c r="H251" s="329"/>
      <c r="I251" s="330"/>
      <c r="J251" s="330"/>
      <c r="K251" s="330"/>
      <c r="L251" s="331"/>
    </row>
    <row r="252" spans="1:12" ht="18" customHeight="1" x14ac:dyDescent="0.3">
      <c r="A252" s="347"/>
      <c r="B252" s="348"/>
      <c r="C252" s="348"/>
      <c r="D252" s="348"/>
      <c r="E252" s="348"/>
      <c r="F252" s="349"/>
      <c r="G252" s="325"/>
      <c r="H252" s="332"/>
      <c r="I252" s="333"/>
      <c r="J252" s="333"/>
      <c r="K252" s="333"/>
      <c r="L252" s="334"/>
    </row>
    <row r="253" spans="1:12" ht="18" customHeight="1" x14ac:dyDescent="0.3">
      <c r="A253" s="347"/>
      <c r="B253" s="348"/>
      <c r="C253" s="348"/>
      <c r="D253" s="348"/>
      <c r="E253" s="348"/>
      <c r="F253" s="349"/>
      <c r="G253" s="323" t="str">
        <f>IF($J259&lt;=59.9,"○","")</f>
        <v/>
      </c>
      <c r="H253" s="326" t="s">
        <v>98</v>
      </c>
      <c r="I253" s="327"/>
      <c r="J253" s="327"/>
      <c r="K253" s="327"/>
      <c r="L253" s="328"/>
    </row>
    <row r="254" spans="1:12" ht="18" customHeight="1" x14ac:dyDescent="0.3">
      <c r="A254" s="347"/>
      <c r="B254" s="348"/>
      <c r="C254" s="348"/>
      <c r="D254" s="348"/>
      <c r="E254" s="348"/>
      <c r="F254" s="349"/>
      <c r="G254" s="324"/>
      <c r="H254" s="329"/>
      <c r="I254" s="330"/>
      <c r="J254" s="330"/>
      <c r="K254" s="330"/>
      <c r="L254" s="331"/>
    </row>
    <row r="255" spans="1:12" ht="18" customHeight="1" x14ac:dyDescent="0.3">
      <c r="A255" s="347"/>
      <c r="B255" s="348"/>
      <c r="C255" s="348"/>
      <c r="D255" s="348"/>
      <c r="E255" s="348"/>
      <c r="F255" s="349"/>
      <c r="G255" s="325"/>
      <c r="H255" s="332"/>
      <c r="I255" s="333"/>
      <c r="J255" s="333"/>
      <c r="K255" s="333"/>
      <c r="L255" s="334"/>
    </row>
    <row r="256" spans="1:12" ht="18" customHeight="1" x14ac:dyDescent="0.3">
      <c r="A256" s="347"/>
      <c r="B256" s="348"/>
      <c r="C256" s="348"/>
      <c r="D256" s="348"/>
      <c r="E256" s="348"/>
      <c r="F256" s="349"/>
      <c r="G256" s="335" t="s">
        <v>99</v>
      </c>
      <c r="H256" s="336"/>
      <c r="I256" s="336"/>
      <c r="J256" s="336"/>
      <c r="K256" s="336"/>
      <c r="L256" s="337"/>
    </row>
    <row r="257" spans="1:12" ht="18" customHeight="1" x14ac:dyDescent="0.3">
      <c r="A257" s="350"/>
      <c r="B257" s="351"/>
      <c r="C257" s="351"/>
      <c r="D257" s="351"/>
      <c r="E257" s="351"/>
      <c r="F257" s="352"/>
      <c r="G257" s="338"/>
      <c r="H257" s="339"/>
      <c r="I257" s="339"/>
      <c r="J257" s="339"/>
      <c r="K257" s="339"/>
      <c r="L257" s="340"/>
    </row>
    <row r="258" spans="1:12" ht="18" customHeight="1" x14ac:dyDescent="0.3">
      <c r="A258" s="353">
        <f>A214</f>
        <v>0</v>
      </c>
      <c r="B258" s="354"/>
      <c r="C258" s="355"/>
      <c r="D258" s="356"/>
      <c r="E258" s="357"/>
      <c r="F258" s="357"/>
      <c r="G258" s="357"/>
      <c r="H258" s="357"/>
      <c r="I258" s="358"/>
      <c r="J258" s="359" t="s">
        <v>125</v>
      </c>
      <c r="K258" s="360"/>
      <c r="L258" s="361"/>
    </row>
    <row r="259" spans="1:12" ht="18" customHeight="1" x14ac:dyDescent="0.3">
      <c r="A259" s="362" t="str">
        <f>A215</f>
        <v>포트폴리오</v>
      </c>
      <c r="B259" s="363"/>
      <c r="C259" s="364"/>
      <c r="D259" s="365">
        <f>'전체 훈련생 평가 채점표'!F14</f>
        <v>91.428571428571431</v>
      </c>
      <c r="E259" s="366"/>
      <c r="F259" s="366"/>
      <c r="G259" s="366"/>
      <c r="H259" s="366"/>
      <c r="I259" s="367"/>
      <c r="J259" s="368">
        <f>IFERROR((D258+D259+D260),0)</f>
        <v>91.428571428571431</v>
      </c>
      <c r="K259" s="369"/>
      <c r="L259" s="370"/>
    </row>
    <row r="260" spans="1:12" ht="18" customHeight="1" x14ac:dyDescent="0.3">
      <c r="A260" s="374">
        <f>A216</f>
        <v>0</v>
      </c>
      <c r="B260" s="375"/>
      <c r="C260" s="376"/>
      <c r="D260" s="377">
        <f>'전체 훈련생 평가 채점표'!G14</f>
        <v>0</v>
      </c>
      <c r="E260" s="378"/>
      <c r="F260" s="378"/>
      <c r="G260" s="378"/>
      <c r="H260" s="378"/>
      <c r="I260" s="379"/>
      <c r="J260" s="371"/>
      <c r="K260" s="372"/>
      <c r="L260" s="373"/>
    </row>
    <row r="261" spans="1:12" ht="18" customHeight="1" x14ac:dyDescent="0.3">
      <c r="A261" s="303" t="s">
        <v>11</v>
      </c>
      <c r="B261" s="304"/>
      <c r="C261" s="304"/>
      <c r="D261" s="304"/>
      <c r="E261" s="304"/>
      <c r="F261" s="304"/>
      <c r="G261" s="304"/>
      <c r="H261" s="304"/>
      <c r="I261" s="304"/>
      <c r="J261" s="304"/>
      <c r="K261" s="304"/>
      <c r="L261" s="305"/>
    </row>
    <row r="262" spans="1:12" ht="18" customHeight="1" x14ac:dyDescent="0.3">
      <c r="A262" s="306" t="s">
        <v>100</v>
      </c>
      <c r="B262" s="307"/>
      <c r="C262" s="307"/>
      <c r="D262" s="307"/>
      <c r="E262" s="307"/>
      <c r="F262" s="307"/>
      <c r="G262" s="307"/>
      <c r="H262" s="307"/>
      <c r="I262" s="307"/>
      <c r="J262" s="307"/>
      <c r="K262" s="307"/>
      <c r="L262" s="308"/>
    </row>
    <row r="263" spans="1:12" ht="18" customHeight="1" x14ac:dyDescent="0.3">
      <c r="A263" s="309" t="s">
        <v>92</v>
      </c>
      <c r="B263" s="309"/>
      <c r="C263" s="309"/>
      <c r="D263" s="310" t="s">
        <v>101</v>
      </c>
      <c r="E263" s="311"/>
      <c r="F263" s="310" t="s">
        <v>102</v>
      </c>
      <c r="G263" s="312"/>
      <c r="H263" s="311"/>
      <c r="I263" s="313">
        <f>$J259</f>
        <v>91.428571428571431</v>
      </c>
      <c r="J263" s="313"/>
      <c r="K263" s="315" t="s">
        <v>103</v>
      </c>
      <c r="L263" s="316"/>
    </row>
    <row r="264" spans="1:12" ht="18" customHeight="1" x14ac:dyDescent="0.3">
      <c r="A264" s="319" t="s">
        <v>104</v>
      </c>
      <c r="B264" s="319"/>
      <c r="C264" s="319"/>
      <c r="D264" s="320" t="s">
        <v>105</v>
      </c>
      <c r="E264" s="321"/>
      <c r="F264" s="320" t="s">
        <v>106</v>
      </c>
      <c r="G264" s="322"/>
      <c r="H264" s="321"/>
      <c r="I264" s="314"/>
      <c r="J264" s="314"/>
      <c r="K264" s="317"/>
      <c r="L264" s="318"/>
    </row>
    <row r="265" spans="1:12" ht="21.95" customHeight="1" x14ac:dyDescent="0.3">
      <c r="A265" s="453" t="str">
        <f>MID(VLOOKUP('전체 훈련생 평가 채점표'!$L$2,'기초데이타(작성필히)'!$A$5:$P$19,9),18,50)&amp;" 수행평가"</f>
        <v xml:space="preserve">  스마트문화앱UX설계 수행평가</v>
      </c>
      <c r="B265" s="453"/>
      <c r="C265" s="453"/>
      <c r="D265" s="453"/>
      <c r="E265" s="453"/>
      <c r="F265" s="453"/>
      <c r="G265" s="453"/>
      <c r="H265" s="453"/>
      <c r="I265" s="453"/>
      <c r="J265" s="453"/>
      <c r="K265" s="453"/>
      <c r="L265" s="453"/>
    </row>
    <row r="266" spans="1:12" ht="18" customHeight="1" x14ac:dyDescent="0.3">
      <c r="A266" s="309" t="s">
        <v>16</v>
      </c>
      <c r="B266" s="454">
        <f>VLOOKUP('전체 훈련생 평가 채점표'!$L$2,'기초데이타(작성필히)'!$A$5:$P$19,3)</f>
        <v>2021</v>
      </c>
      <c r="C266" s="454" t="s">
        <v>17</v>
      </c>
      <c r="D266" s="455" t="str">
        <f>VLOOKUP('전체 훈련생 평가 채점표'!$L$2,'기초데이타(작성필히)'!$A$5:$P$19,4)</f>
        <v>[디지털디자인]반응형 웹디자인(UIUX) &amp; 웹퍼블리셔 디지털 실무 양성과정 A-5</v>
      </c>
      <c r="E266" s="455"/>
      <c r="F266" s="455"/>
      <c r="G266" s="454" t="s">
        <v>18</v>
      </c>
      <c r="H266" s="359" t="str">
        <f>VLOOKUP('전체 훈련생 평가 채점표'!$L$2,'기초데이타(작성필히)'!$A$5:$P$19,5)</f>
        <v>21.08.31 ~ 22.02.07</v>
      </c>
      <c r="I266" s="360"/>
      <c r="J266" s="361"/>
      <c r="K266" s="460" t="s">
        <v>78</v>
      </c>
      <c r="L266" s="309" t="str">
        <f>VLOOKUP('전체 훈련생 평가 채점표'!$L$2,'기초데이타(작성필히)'!$A$5:$P$19,6)</f>
        <v>760H</v>
      </c>
    </row>
    <row r="267" spans="1:12" ht="18" customHeight="1" x14ac:dyDescent="0.3">
      <c r="A267" s="412"/>
      <c r="B267" s="413"/>
      <c r="C267" s="413"/>
      <c r="D267" s="456"/>
      <c r="E267" s="456"/>
      <c r="F267" s="456"/>
      <c r="G267" s="413"/>
      <c r="H267" s="457"/>
      <c r="I267" s="458"/>
      <c r="J267" s="459"/>
      <c r="K267" s="461"/>
      <c r="L267" s="412"/>
    </row>
    <row r="268" spans="1:12" ht="18" customHeight="1" x14ac:dyDescent="0.3">
      <c r="A268" s="412" t="s">
        <v>23</v>
      </c>
      <c r="B268" s="412"/>
      <c r="C268" s="412" t="str">
        <f>LEFT(VLOOKUP('전체 훈련생 평가 채점표'!$L$2,'기초데이타(작성필히)'!$A$5:$P$19,9),17)</f>
        <v>[0803020911_18v3]</v>
      </c>
      <c r="D268" s="412"/>
      <c r="E268" s="412"/>
      <c r="F268" s="412"/>
      <c r="G268" s="413" t="s">
        <v>24</v>
      </c>
      <c r="H268" s="412" t="str">
        <f>VLOOKUP('전체 훈련생 평가 채점표'!$L$2,'기초데이타(작성필히)'!$A$5:$P$19,12)</f>
        <v>이창훈</v>
      </c>
      <c r="I268" s="412"/>
      <c r="J268" s="412"/>
      <c r="K268" s="414"/>
      <c r="L268" s="415" t="s">
        <v>25</v>
      </c>
    </row>
    <row r="269" spans="1:12" ht="18" customHeight="1" x14ac:dyDescent="0.3">
      <c r="A269" s="412"/>
      <c r="B269" s="412"/>
      <c r="C269" s="412" t="str">
        <f>MID(VLOOKUP('전체 훈련생 평가 채점표'!$L$2,'기초데이타(작성필히)'!$A$5:$P$19,9),18,50)</f>
        <v xml:space="preserve">  스마트문화앱UX설계</v>
      </c>
      <c r="D269" s="412"/>
      <c r="E269" s="412"/>
      <c r="F269" s="412"/>
      <c r="G269" s="413"/>
      <c r="H269" s="412"/>
      <c r="I269" s="412"/>
      <c r="J269" s="412"/>
      <c r="K269" s="414"/>
      <c r="L269" s="416"/>
    </row>
    <row r="270" spans="1:12" ht="18" customHeight="1" x14ac:dyDescent="0.3">
      <c r="A270" s="412" t="s">
        <v>79</v>
      </c>
      <c r="B270" s="412"/>
      <c r="C270" s="413" t="str">
        <f>'전체 훈련생 평가 채점표'!B15</f>
        <v>김정서</v>
      </c>
      <c r="D270" s="413" t="s">
        <v>21</v>
      </c>
      <c r="E270" s="418" t="str">
        <f>VLOOKUP('전체 훈련생 평가 채점표'!$L$2,'기초데이타(작성필히)'!$A$5:$P$19,10)</f>
        <v>21.11.11~21.11.24</v>
      </c>
      <c r="F270" s="419"/>
      <c r="G270" s="420"/>
      <c r="H270" s="60" t="s">
        <v>80</v>
      </c>
      <c r="I270" s="61" t="s">
        <v>22</v>
      </c>
      <c r="J270" s="424" t="s">
        <v>81</v>
      </c>
      <c r="K270" s="425"/>
      <c r="L270" s="426"/>
    </row>
    <row r="271" spans="1:12" ht="18" customHeight="1" x14ac:dyDescent="0.3">
      <c r="A271" s="319"/>
      <c r="B271" s="319"/>
      <c r="C271" s="417"/>
      <c r="D271" s="417"/>
      <c r="E271" s="421"/>
      <c r="F271" s="422"/>
      <c r="G271" s="423"/>
      <c r="H271" s="62" t="s">
        <v>113</v>
      </c>
      <c r="I271" s="62">
        <f>VLOOKUP('전체 훈련생 평가 채점표'!$L$2,'기초데이타(작성필히)'!$A$5:$P$19,11)</f>
        <v>70</v>
      </c>
      <c r="J271" s="314" t="s">
        <v>113</v>
      </c>
      <c r="K271" s="314"/>
      <c r="L271" s="427"/>
    </row>
    <row r="272" spans="1:12" ht="18" customHeight="1" x14ac:dyDescent="0.3"/>
    <row r="273" spans="1:12" ht="18" customHeight="1" x14ac:dyDescent="0.3">
      <c r="A273" s="428" t="s">
        <v>82</v>
      </c>
      <c r="B273" s="429"/>
      <c r="C273" s="429"/>
      <c r="D273" s="431" t="s">
        <v>83</v>
      </c>
      <c r="E273" s="431"/>
      <c r="F273" s="431"/>
      <c r="G273" s="433" t="s">
        <v>84</v>
      </c>
      <c r="H273" s="434"/>
      <c r="I273" s="434"/>
      <c r="J273" s="434"/>
      <c r="K273" s="434"/>
      <c r="L273" s="435"/>
    </row>
    <row r="274" spans="1:12" ht="18" customHeight="1" x14ac:dyDescent="0.3">
      <c r="A274" s="430"/>
      <c r="B274" s="430"/>
      <c r="C274" s="430"/>
      <c r="D274" s="432"/>
      <c r="E274" s="432"/>
      <c r="F274" s="432"/>
      <c r="G274" s="436"/>
      <c r="H274" s="437"/>
      <c r="I274" s="437"/>
      <c r="J274" s="437"/>
      <c r="K274" s="437"/>
      <c r="L274" s="438"/>
    </row>
    <row r="275" spans="1:12" ht="18" customHeight="1" x14ac:dyDescent="0.3">
      <c r="A275" s="383" t="str">
        <f>$C270</f>
        <v>김정서</v>
      </c>
      <c r="B275" s="439"/>
      <c r="C275" s="439"/>
      <c r="D275" s="441" t="str">
        <f>$H268</f>
        <v>이창훈</v>
      </c>
      <c r="E275" s="443" t="s">
        <v>25</v>
      </c>
      <c r="F275" s="444"/>
      <c r="G275" s="382" t="s">
        <v>85</v>
      </c>
      <c r="H275" s="447">
        <f>VLOOKUP('전체 훈련생 평가 채점표'!$L$2,'기초데이타(작성필히)'!$A$5:$P$19,13)</f>
        <v>44524</v>
      </c>
      <c r="I275" s="448"/>
      <c r="J275" s="448"/>
      <c r="K275" s="449"/>
      <c r="L275" s="391" t="s">
        <v>86</v>
      </c>
    </row>
    <row r="276" spans="1:12" ht="18" customHeight="1" x14ac:dyDescent="0.3">
      <c r="A276" s="440"/>
      <c r="B276" s="440"/>
      <c r="C276" s="440"/>
      <c r="D276" s="442"/>
      <c r="E276" s="445"/>
      <c r="F276" s="446"/>
      <c r="G276" s="384"/>
      <c r="H276" s="450"/>
      <c r="I276" s="451"/>
      <c r="J276" s="451"/>
      <c r="K276" s="452"/>
      <c r="L276" s="392"/>
    </row>
    <row r="277" spans="1:12" ht="18" customHeight="1" x14ac:dyDescent="0.3">
      <c r="A277" s="380" t="s">
        <v>87</v>
      </c>
      <c r="B277" s="380"/>
      <c r="C277" s="380"/>
      <c r="D277" s="382" t="str">
        <f>$C268</f>
        <v>[0803020911_18v3]</v>
      </c>
      <c r="E277" s="382"/>
      <c r="F277" s="382"/>
      <c r="G277" s="382" t="s">
        <v>88</v>
      </c>
      <c r="H277" s="385"/>
      <c r="I277" s="386"/>
      <c r="J277" s="386"/>
      <c r="K277" s="387"/>
      <c r="L277" s="391" t="s">
        <v>86</v>
      </c>
    </row>
    <row r="278" spans="1:12" ht="18" customHeight="1" x14ac:dyDescent="0.3">
      <c r="A278" s="381"/>
      <c r="B278" s="381"/>
      <c r="C278" s="381"/>
      <c r="D278" s="383"/>
      <c r="E278" s="383"/>
      <c r="F278" s="383"/>
      <c r="G278" s="384"/>
      <c r="H278" s="388"/>
      <c r="I278" s="389"/>
      <c r="J278" s="389"/>
      <c r="K278" s="390"/>
      <c r="L278" s="392"/>
    </row>
    <row r="279" spans="1:12" ht="18" customHeight="1" x14ac:dyDescent="0.3">
      <c r="A279" s="393" t="str">
        <f>VLOOKUP('전체 훈련생 평가 채점표'!$L$2,'기초데이타(작성필히)'!$A$5:$P$19,7)</f>
        <v>스타일가이드제작 및 시안디자인 제작2</v>
      </c>
      <c r="B279" s="393"/>
      <c r="C279" s="393"/>
      <c r="D279" s="383" t="str">
        <f>$C269</f>
        <v xml:space="preserve">  스마트문화앱UX설계</v>
      </c>
      <c r="E279" s="383"/>
      <c r="F279" s="383"/>
      <c r="G279" s="382" t="s">
        <v>89</v>
      </c>
      <c r="H279" s="385"/>
      <c r="I279" s="386"/>
      <c r="J279" s="386"/>
      <c r="K279" s="387"/>
      <c r="L279" s="391" t="s">
        <v>86</v>
      </c>
    </row>
    <row r="280" spans="1:12" ht="18" customHeight="1" x14ac:dyDescent="0.3">
      <c r="A280" s="394"/>
      <c r="B280" s="394"/>
      <c r="C280" s="394"/>
      <c r="D280" s="384"/>
      <c r="E280" s="384"/>
      <c r="F280" s="384"/>
      <c r="G280" s="384"/>
      <c r="H280" s="388"/>
      <c r="I280" s="389"/>
      <c r="J280" s="389"/>
      <c r="K280" s="390"/>
      <c r="L280" s="392"/>
    </row>
    <row r="281" spans="1:12" ht="18" customHeight="1" x14ac:dyDescent="0.3">
      <c r="A281" s="395" t="s">
        <v>90</v>
      </c>
      <c r="B281" s="396"/>
      <c r="C281" s="396"/>
      <c r="D281" s="396"/>
      <c r="E281" s="396"/>
      <c r="F281" s="397"/>
      <c r="G281" s="398" t="s">
        <v>91</v>
      </c>
      <c r="H281" s="399"/>
      <c r="I281" s="399"/>
      <c r="J281" s="399"/>
      <c r="K281" s="399"/>
      <c r="L281" s="400"/>
    </row>
    <row r="282" spans="1:12" ht="18" customHeight="1" x14ac:dyDescent="0.3">
      <c r="A282" s="395"/>
      <c r="B282" s="396"/>
      <c r="C282" s="396"/>
      <c r="D282" s="396"/>
      <c r="E282" s="396"/>
      <c r="F282" s="397"/>
      <c r="G282" s="401"/>
      <c r="H282" s="402"/>
      <c r="I282" s="402"/>
      <c r="J282" s="402"/>
      <c r="K282" s="402"/>
      <c r="L282" s="403"/>
    </row>
    <row r="283" spans="1:12" ht="18" customHeight="1" x14ac:dyDescent="0.3">
      <c r="A283" s="341" t="s">
        <v>126</v>
      </c>
      <c r="B283" s="342"/>
      <c r="C283" s="342"/>
      <c r="D283" s="342"/>
      <c r="E283" s="342"/>
      <c r="F283" s="343"/>
      <c r="G283" s="404" t="s">
        <v>92</v>
      </c>
      <c r="H283" s="406" t="s">
        <v>93</v>
      </c>
      <c r="I283" s="407"/>
      <c r="J283" s="407"/>
      <c r="K283" s="407"/>
      <c r="L283" s="408"/>
    </row>
    <row r="284" spans="1:12" ht="18" customHeight="1" x14ac:dyDescent="0.3">
      <c r="A284" s="341"/>
      <c r="B284" s="342"/>
      <c r="C284" s="342"/>
      <c r="D284" s="342"/>
      <c r="E284" s="342"/>
      <c r="F284" s="343"/>
      <c r="G284" s="405"/>
      <c r="H284" s="409"/>
      <c r="I284" s="410"/>
      <c r="J284" s="410"/>
      <c r="K284" s="410"/>
      <c r="L284" s="411"/>
    </row>
    <row r="285" spans="1:12" ht="18" customHeight="1" x14ac:dyDescent="0.3">
      <c r="A285" s="341"/>
      <c r="B285" s="342"/>
      <c r="C285" s="342"/>
      <c r="D285" s="342"/>
      <c r="E285" s="342"/>
      <c r="F285" s="343"/>
      <c r="G285" s="323" t="str">
        <f>IF($J303&gt;=90,"○","")</f>
        <v/>
      </c>
      <c r="H285" s="326" t="s">
        <v>94</v>
      </c>
      <c r="I285" s="327"/>
      <c r="J285" s="327"/>
      <c r="K285" s="327"/>
      <c r="L285" s="328"/>
    </row>
    <row r="286" spans="1:12" ht="18" customHeight="1" x14ac:dyDescent="0.3">
      <c r="A286" s="341"/>
      <c r="B286" s="342"/>
      <c r="C286" s="342"/>
      <c r="D286" s="342"/>
      <c r="E286" s="342"/>
      <c r="F286" s="343"/>
      <c r="G286" s="324"/>
      <c r="H286" s="329"/>
      <c r="I286" s="330"/>
      <c r="J286" s="330"/>
      <c r="K286" s="330"/>
      <c r="L286" s="331"/>
    </row>
    <row r="287" spans="1:12" ht="18" customHeight="1" x14ac:dyDescent="0.3">
      <c r="A287" s="341"/>
      <c r="B287" s="342"/>
      <c r="C287" s="342"/>
      <c r="D287" s="342"/>
      <c r="E287" s="342"/>
      <c r="F287" s="343"/>
      <c r="G287" s="325"/>
      <c r="H287" s="332"/>
      <c r="I287" s="333"/>
      <c r="J287" s="333"/>
      <c r="K287" s="333"/>
      <c r="L287" s="334"/>
    </row>
    <row r="288" spans="1:12" ht="18" customHeight="1" x14ac:dyDescent="0.3">
      <c r="A288" s="341"/>
      <c r="B288" s="342"/>
      <c r="C288" s="342"/>
      <c r="D288" s="342"/>
      <c r="E288" s="342"/>
      <c r="F288" s="343"/>
      <c r="G288" s="323" t="str">
        <f>IF(AND($J303&lt;=89.9,$J303&gt;=80),"○","")</f>
        <v>○</v>
      </c>
      <c r="H288" s="326" t="s">
        <v>95</v>
      </c>
      <c r="I288" s="327"/>
      <c r="J288" s="327"/>
      <c r="K288" s="327"/>
      <c r="L288" s="328"/>
    </row>
    <row r="289" spans="1:12" ht="18" customHeight="1" x14ac:dyDescent="0.3">
      <c r="A289" s="341"/>
      <c r="B289" s="342"/>
      <c r="C289" s="342"/>
      <c r="D289" s="342"/>
      <c r="E289" s="342"/>
      <c r="F289" s="343"/>
      <c r="G289" s="324"/>
      <c r="H289" s="329"/>
      <c r="I289" s="330"/>
      <c r="J289" s="330"/>
      <c r="K289" s="330"/>
      <c r="L289" s="331"/>
    </row>
    <row r="290" spans="1:12" ht="18" customHeight="1" x14ac:dyDescent="0.3">
      <c r="A290" s="341"/>
      <c r="B290" s="342"/>
      <c r="C290" s="342"/>
      <c r="D290" s="342"/>
      <c r="E290" s="342"/>
      <c r="F290" s="343"/>
      <c r="G290" s="325"/>
      <c r="H290" s="332"/>
      <c r="I290" s="333"/>
      <c r="J290" s="333"/>
      <c r="K290" s="333"/>
      <c r="L290" s="334"/>
    </row>
    <row r="291" spans="1:12" ht="18" customHeight="1" x14ac:dyDescent="0.3">
      <c r="A291" s="341"/>
      <c r="B291" s="342"/>
      <c r="C291" s="342"/>
      <c r="D291" s="342"/>
      <c r="E291" s="342"/>
      <c r="F291" s="343"/>
      <c r="G291" s="323" t="str">
        <f>IF(AND($J303&lt;=79.9,$J303&gt;=70),"○","")</f>
        <v/>
      </c>
      <c r="H291" s="326" t="s">
        <v>96</v>
      </c>
      <c r="I291" s="327"/>
      <c r="J291" s="327"/>
      <c r="K291" s="327"/>
      <c r="L291" s="328"/>
    </row>
    <row r="292" spans="1:12" ht="18" customHeight="1" x14ac:dyDescent="0.3">
      <c r="A292" s="341"/>
      <c r="B292" s="342"/>
      <c r="C292" s="342"/>
      <c r="D292" s="342"/>
      <c r="E292" s="342"/>
      <c r="F292" s="343"/>
      <c r="G292" s="324"/>
      <c r="H292" s="329"/>
      <c r="I292" s="330"/>
      <c r="J292" s="330"/>
      <c r="K292" s="330"/>
      <c r="L292" s="331"/>
    </row>
    <row r="293" spans="1:12" ht="18" customHeight="1" x14ac:dyDescent="0.3">
      <c r="A293" s="344" t="str">
        <f>"- "&amp;'전체 훈련생 평가 채점표'!$G$8</f>
        <v>- 0</v>
      </c>
      <c r="B293" s="345"/>
      <c r="C293" s="345"/>
      <c r="D293" s="345"/>
      <c r="E293" s="345"/>
      <c r="F293" s="346"/>
      <c r="G293" s="325"/>
      <c r="H293" s="332"/>
      <c r="I293" s="333"/>
      <c r="J293" s="333"/>
      <c r="K293" s="333"/>
      <c r="L293" s="334"/>
    </row>
    <row r="294" spans="1:12" ht="18" customHeight="1" x14ac:dyDescent="0.3">
      <c r="A294" s="344" t="str">
        <f>"- "&amp;'전체 훈련생 평가 채점표'!$F$8</f>
        <v>- 포트폴리오</v>
      </c>
      <c r="B294" s="345"/>
      <c r="C294" s="345"/>
      <c r="D294" s="345"/>
      <c r="E294" s="345"/>
      <c r="F294" s="346"/>
      <c r="G294" s="323" t="str">
        <f>IF(AND($J303&lt;=69.9,$J303&gt;=60),"○","")</f>
        <v/>
      </c>
      <c r="H294" s="326" t="s">
        <v>97</v>
      </c>
      <c r="I294" s="327"/>
      <c r="J294" s="327"/>
      <c r="K294" s="327"/>
      <c r="L294" s="328"/>
    </row>
    <row r="295" spans="1:12" ht="18" customHeight="1" x14ac:dyDescent="0.3">
      <c r="A295" s="347"/>
      <c r="B295" s="348"/>
      <c r="C295" s="348"/>
      <c r="D295" s="348"/>
      <c r="E295" s="348"/>
      <c r="F295" s="349"/>
      <c r="G295" s="324"/>
      <c r="H295" s="329"/>
      <c r="I295" s="330"/>
      <c r="J295" s="330"/>
      <c r="K295" s="330"/>
      <c r="L295" s="331"/>
    </row>
    <row r="296" spans="1:12" ht="18" customHeight="1" x14ac:dyDescent="0.3">
      <c r="A296" s="347"/>
      <c r="B296" s="348"/>
      <c r="C296" s="348"/>
      <c r="D296" s="348"/>
      <c r="E296" s="348"/>
      <c r="F296" s="349"/>
      <c r="G296" s="325"/>
      <c r="H296" s="332"/>
      <c r="I296" s="333"/>
      <c r="J296" s="333"/>
      <c r="K296" s="333"/>
      <c r="L296" s="334"/>
    </row>
    <row r="297" spans="1:12" ht="18" customHeight="1" x14ac:dyDescent="0.3">
      <c r="A297" s="347"/>
      <c r="B297" s="348"/>
      <c r="C297" s="348"/>
      <c r="D297" s="348"/>
      <c r="E297" s="348"/>
      <c r="F297" s="349"/>
      <c r="G297" s="323" t="str">
        <f>IF($J303&lt;=59.9,"○","")</f>
        <v/>
      </c>
      <c r="H297" s="326" t="s">
        <v>98</v>
      </c>
      <c r="I297" s="327"/>
      <c r="J297" s="327"/>
      <c r="K297" s="327"/>
      <c r="L297" s="328"/>
    </row>
    <row r="298" spans="1:12" ht="18" customHeight="1" x14ac:dyDescent="0.3">
      <c r="A298" s="347"/>
      <c r="B298" s="348"/>
      <c r="C298" s="348"/>
      <c r="D298" s="348"/>
      <c r="E298" s="348"/>
      <c r="F298" s="349"/>
      <c r="G298" s="324"/>
      <c r="H298" s="329"/>
      <c r="I298" s="330"/>
      <c r="J298" s="330"/>
      <c r="K298" s="330"/>
      <c r="L298" s="331"/>
    </row>
    <row r="299" spans="1:12" ht="18" customHeight="1" x14ac:dyDescent="0.3">
      <c r="A299" s="347"/>
      <c r="B299" s="348"/>
      <c r="C299" s="348"/>
      <c r="D299" s="348"/>
      <c r="E299" s="348"/>
      <c r="F299" s="349"/>
      <c r="G299" s="325"/>
      <c r="H299" s="332"/>
      <c r="I299" s="333"/>
      <c r="J299" s="333"/>
      <c r="K299" s="333"/>
      <c r="L299" s="334"/>
    </row>
    <row r="300" spans="1:12" ht="18" customHeight="1" x14ac:dyDescent="0.3">
      <c r="A300" s="347"/>
      <c r="B300" s="348"/>
      <c r="C300" s="348"/>
      <c r="D300" s="348"/>
      <c r="E300" s="348"/>
      <c r="F300" s="349"/>
      <c r="G300" s="335" t="s">
        <v>99</v>
      </c>
      <c r="H300" s="336"/>
      <c r="I300" s="336"/>
      <c r="J300" s="336"/>
      <c r="K300" s="336"/>
      <c r="L300" s="337"/>
    </row>
    <row r="301" spans="1:12" ht="18" customHeight="1" x14ac:dyDescent="0.3">
      <c r="A301" s="350"/>
      <c r="B301" s="351"/>
      <c r="C301" s="351"/>
      <c r="D301" s="351"/>
      <c r="E301" s="351"/>
      <c r="F301" s="352"/>
      <c r="G301" s="338"/>
      <c r="H301" s="339"/>
      <c r="I301" s="339"/>
      <c r="J301" s="339"/>
      <c r="K301" s="339"/>
      <c r="L301" s="340"/>
    </row>
    <row r="302" spans="1:12" ht="18" customHeight="1" x14ac:dyDescent="0.3">
      <c r="A302" s="353">
        <f>A258</f>
        <v>0</v>
      </c>
      <c r="B302" s="354"/>
      <c r="C302" s="355"/>
      <c r="D302" s="356"/>
      <c r="E302" s="357"/>
      <c r="F302" s="357"/>
      <c r="G302" s="357"/>
      <c r="H302" s="357"/>
      <c r="I302" s="358"/>
      <c r="J302" s="359" t="s">
        <v>125</v>
      </c>
      <c r="K302" s="360"/>
      <c r="L302" s="361"/>
    </row>
    <row r="303" spans="1:12" ht="18" customHeight="1" x14ac:dyDescent="0.3">
      <c r="A303" s="362" t="str">
        <f>A259</f>
        <v>포트폴리오</v>
      </c>
      <c r="B303" s="363"/>
      <c r="C303" s="364"/>
      <c r="D303" s="365">
        <f>'전체 훈련생 평가 채점표'!F15</f>
        <v>87.142857142857139</v>
      </c>
      <c r="E303" s="366"/>
      <c r="F303" s="366"/>
      <c r="G303" s="366"/>
      <c r="H303" s="366"/>
      <c r="I303" s="367"/>
      <c r="J303" s="368">
        <f>IFERROR((D302+D303+D304),0)</f>
        <v>87.142857142857139</v>
      </c>
      <c r="K303" s="369"/>
      <c r="L303" s="370"/>
    </row>
    <row r="304" spans="1:12" ht="18" customHeight="1" x14ac:dyDescent="0.3">
      <c r="A304" s="374">
        <f>A260</f>
        <v>0</v>
      </c>
      <c r="B304" s="375"/>
      <c r="C304" s="376"/>
      <c r="D304" s="377">
        <f>'전체 훈련생 평가 채점표'!G15</f>
        <v>0</v>
      </c>
      <c r="E304" s="378"/>
      <c r="F304" s="378"/>
      <c r="G304" s="378"/>
      <c r="H304" s="378"/>
      <c r="I304" s="379"/>
      <c r="J304" s="371"/>
      <c r="K304" s="372"/>
      <c r="L304" s="373"/>
    </row>
    <row r="305" spans="1:12" ht="18" customHeight="1" x14ac:dyDescent="0.3">
      <c r="A305" s="303" t="s">
        <v>11</v>
      </c>
      <c r="B305" s="304"/>
      <c r="C305" s="304"/>
      <c r="D305" s="304"/>
      <c r="E305" s="304"/>
      <c r="F305" s="304"/>
      <c r="G305" s="304"/>
      <c r="H305" s="304"/>
      <c r="I305" s="304"/>
      <c r="J305" s="304"/>
      <c r="K305" s="304"/>
      <c r="L305" s="305"/>
    </row>
    <row r="306" spans="1:12" ht="18" customHeight="1" x14ac:dyDescent="0.3">
      <c r="A306" s="306" t="s">
        <v>100</v>
      </c>
      <c r="B306" s="307"/>
      <c r="C306" s="307"/>
      <c r="D306" s="307"/>
      <c r="E306" s="307"/>
      <c r="F306" s="307"/>
      <c r="G306" s="307"/>
      <c r="H306" s="307"/>
      <c r="I306" s="307"/>
      <c r="J306" s="307"/>
      <c r="K306" s="307"/>
      <c r="L306" s="308"/>
    </row>
    <row r="307" spans="1:12" ht="18" customHeight="1" x14ac:dyDescent="0.3">
      <c r="A307" s="309" t="s">
        <v>92</v>
      </c>
      <c r="B307" s="309"/>
      <c r="C307" s="309"/>
      <c r="D307" s="310" t="s">
        <v>101</v>
      </c>
      <c r="E307" s="311"/>
      <c r="F307" s="310" t="s">
        <v>102</v>
      </c>
      <c r="G307" s="312"/>
      <c r="H307" s="311"/>
      <c r="I307" s="313">
        <f>$J303</f>
        <v>87.142857142857139</v>
      </c>
      <c r="J307" s="313"/>
      <c r="K307" s="315" t="s">
        <v>103</v>
      </c>
      <c r="L307" s="316"/>
    </row>
    <row r="308" spans="1:12" ht="18" customHeight="1" x14ac:dyDescent="0.3">
      <c r="A308" s="319" t="s">
        <v>104</v>
      </c>
      <c r="B308" s="319"/>
      <c r="C308" s="319"/>
      <c r="D308" s="320" t="s">
        <v>105</v>
      </c>
      <c r="E308" s="321"/>
      <c r="F308" s="320" t="s">
        <v>106</v>
      </c>
      <c r="G308" s="322"/>
      <c r="H308" s="321"/>
      <c r="I308" s="314"/>
      <c r="J308" s="314"/>
      <c r="K308" s="317"/>
      <c r="L308" s="318"/>
    </row>
    <row r="309" spans="1:12" ht="21.95" customHeight="1" x14ac:dyDescent="0.3">
      <c r="A309" s="453" t="str">
        <f>MID(VLOOKUP('전체 훈련생 평가 채점표'!$L$2,'기초데이타(작성필히)'!$A$5:$P$19,9),18,50)&amp;" 수행평가"</f>
        <v xml:space="preserve">  스마트문화앱UX설계 수행평가</v>
      </c>
      <c r="B309" s="453"/>
      <c r="C309" s="453"/>
      <c r="D309" s="453"/>
      <c r="E309" s="453"/>
      <c r="F309" s="453"/>
      <c r="G309" s="453"/>
      <c r="H309" s="453"/>
      <c r="I309" s="453"/>
      <c r="J309" s="453"/>
      <c r="K309" s="453"/>
      <c r="L309" s="453"/>
    </row>
    <row r="310" spans="1:12" ht="18" customHeight="1" x14ac:dyDescent="0.3">
      <c r="A310" s="309" t="s">
        <v>16</v>
      </c>
      <c r="B310" s="454">
        <f>VLOOKUP('전체 훈련생 평가 채점표'!$L$2,'기초데이타(작성필히)'!$A$5:$P$19,3)</f>
        <v>2021</v>
      </c>
      <c r="C310" s="454" t="s">
        <v>17</v>
      </c>
      <c r="D310" s="455" t="str">
        <f>VLOOKUP('전체 훈련생 평가 채점표'!$L$2,'기초데이타(작성필히)'!$A$5:$P$19,4)</f>
        <v>[디지털디자인]반응형 웹디자인(UIUX) &amp; 웹퍼블리셔 디지털 실무 양성과정 A-5</v>
      </c>
      <c r="E310" s="455"/>
      <c r="F310" s="455"/>
      <c r="G310" s="454" t="s">
        <v>18</v>
      </c>
      <c r="H310" s="359" t="str">
        <f>VLOOKUP('전체 훈련생 평가 채점표'!$L$2,'기초데이타(작성필히)'!$A$5:$P$19,5)</f>
        <v>21.08.31 ~ 22.02.07</v>
      </c>
      <c r="I310" s="360"/>
      <c r="J310" s="361"/>
      <c r="K310" s="460" t="s">
        <v>78</v>
      </c>
      <c r="L310" s="309" t="str">
        <f>VLOOKUP('전체 훈련생 평가 채점표'!$L$2,'기초데이타(작성필히)'!$A$5:$P$19,6)</f>
        <v>760H</v>
      </c>
    </row>
    <row r="311" spans="1:12" ht="18" customHeight="1" x14ac:dyDescent="0.3">
      <c r="A311" s="412"/>
      <c r="B311" s="413"/>
      <c r="C311" s="413"/>
      <c r="D311" s="456"/>
      <c r="E311" s="456"/>
      <c r="F311" s="456"/>
      <c r="G311" s="413"/>
      <c r="H311" s="457"/>
      <c r="I311" s="458"/>
      <c r="J311" s="459"/>
      <c r="K311" s="461"/>
      <c r="L311" s="412"/>
    </row>
    <row r="312" spans="1:12" ht="18" customHeight="1" x14ac:dyDescent="0.3">
      <c r="A312" s="412" t="s">
        <v>23</v>
      </c>
      <c r="B312" s="412"/>
      <c r="C312" s="412" t="str">
        <f>LEFT(VLOOKUP('전체 훈련생 평가 채점표'!$L$2,'기초데이타(작성필히)'!$A$5:$P$19,9),17)</f>
        <v>[0803020911_18v3]</v>
      </c>
      <c r="D312" s="412"/>
      <c r="E312" s="412"/>
      <c r="F312" s="412"/>
      <c r="G312" s="413" t="s">
        <v>24</v>
      </c>
      <c r="H312" s="412" t="str">
        <f>VLOOKUP('전체 훈련생 평가 채점표'!$L$2,'기초데이타(작성필히)'!$A$5:$P$19,12)</f>
        <v>이창훈</v>
      </c>
      <c r="I312" s="412"/>
      <c r="J312" s="412"/>
      <c r="K312" s="414"/>
      <c r="L312" s="415" t="s">
        <v>25</v>
      </c>
    </row>
    <row r="313" spans="1:12" ht="18" customHeight="1" x14ac:dyDescent="0.3">
      <c r="A313" s="412"/>
      <c r="B313" s="412"/>
      <c r="C313" s="412" t="str">
        <f>MID(VLOOKUP('전체 훈련생 평가 채점표'!$L$2,'기초데이타(작성필히)'!$A$5:$P$19,9),18,50)</f>
        <v xml:space="preserve">  스마트문화앱UX설계</v>
      </c>
      <c r="D313" s="412"/>
      <c r="E313" s="412"/>
      <c r="F313" s="412"/>
      <c r="G313" s="413"/>
      <c r="H313" s="412"/>
      <c r="I313" s="412"/>
      <c r="J313" s="412"/>
      <c r="K313" s="414"/>
      <c r="L313" s="416"/>
    </row>
    <row r="314" spans="1:12" ht="18" customHeight="1" x14ac:dyDescent="0.3">
      <c r="A314" s="412" t="s">
        <v>79</v>
      </c>
      <c r="B314" s="412"/>
      <c r="C314" s="413" t="str">
        <f>'전체 훈련생 평가 채점표'!B16</f>
        <v>노혜진</v>
      </c>
      <c r="D314" s="413" t="s">
        <v>21</v>
      </c>
      <c r="E314" s="418" t="str">
        <f>VLOOKUP('전체 훈련생 평가 채점표'!$L$2,'기초데이타(작성필히)'!$A$5:$P$19,10)</f>
        <v>21.11.11~21.11.24</v>
      </c>
      <c r="F314" s="419"/>
      <c r="G314" s="420"/>
      <c r="H314" s="60" t="s">
        <v>80</v>
      </c>
      <c r="I314" s="61" t="s">
        <v>22</v>
      </c>
      <c r="J314" s="424" t="s">
        <v>81</v>
      </c>
      <c r="K314" s="425"/>
      <c r="L314" s="426"/>
    </row>
    <row r="315" spans="1:12" ht="18" customHeight="1" x14ac:dyDescent="0.3">
      <c r="A315" s="319"/>
      <c r="B315" s="319"/>
      <c r="C315" s="417"/>
      <c r="D315" s="417"/>
      <c r="E315" s="421"/>
      <c r="F315" s="422"/>
      <c r="G315" s="423"/>
      <c r="H315" s="62" t="s">
        <v>113</v>
      </c>
      <c r="I315" s="62">
        <f>VLOOKUP('전체 훈련생 평가 채점표'!$L$2,'기초데이타(작성필히)'!$A$5:$P$19,11)</f>
        <v>70</v>
      </c>
      <c r="J315" s="314" t="s">
        <v>113</v>
      </c>
      <c r="K315" s="314"/>
      <c r="L315" s="427"/>
    </row>
    <row r="316" spans="1:12" ht="18" customHeight="1" x14ac:dyDescent="0.3"/>
    <row r="317" spans="1:12" ht="18" customHeight="1" x14ac:dyDescent="0.3">
      <c r="A317" s="428" t="s">
        <v>82</v>
      </c>
      <c r="B317" s="429"/>
      <c r="C317" s="429"/>
      <c r="D317" s="431" t="s">
        <v>83</v>
      </c>
      <c r="E317" s="431"/>
      <c r="F317" s="431"/>
      <c r="G317" s="433" t="s">
        <v>84</v>
      </c>
      <c r="H317" s="434"/>
      <c r="I317" s="434"/>
      <c r="J317" s="434"/>
      <c r="K317" s="434"/>
      <c r="L317" s="435"/>
    </row>
    <row r="318" spans="1:12" ht="18" customHeight="1" x14ac:dyDescent="0.3">
      <c r="A318" s="430"/>
      <c r="B318" s="430"/>
      <c r="C318" s="430"/>
      <c r="D318" s="432"/>
      <c r="E318" s="432"/>
      <c r="F318" s="432"/>
      <c r="G318" s="436"/>
      <c r="H318" s="437"/>
      <c r="I318" s="437"/>
      <c r="J318" s="437"/>
      <c r="K318" s="437"/>
      <c r="L318" s="438"/>
    </row>
    <row r="319" spans="1:12" ht="18" customHeight="1" x14ac:dyDescent="0.3">
      <c r="A319" s="383" t="str">
        <f>$C314</f>
        <v>노혜진</v>
      </c>
      <c r="B319" s="439"/>
      <c r="C319" s="439"/>
      <c r="D319" s="441" t="str">
        <f>$H312</f>
        <v>이창훈</v>
      </c>
      <c r="E319" s="443" t="s">
        <v>25</v>
      </c>
      <c r="F319" s="444"/>
      <c r="G319" s="382" t="s">
        <v>85</v>
      </c>
      <c r="H319" s="447">
        <f>VLOOKUP('전체 훈련생 평가 채점표'!$L$2,'기초데이타(작성필히)'!$A$5:$P$19,13)</f>
        <v>44524</v>
      </c>
      <c r="I319" s="448"/>
      <c r="J319" s="448"/>
      <c r="K319" s="449"/>
      <c r="L319" s="391" t="s">
        <v>86</v>
      </c>
    </row>
    <row r="320" spans="1:12" ht="18" customHeight="1" x14ac:dyDescent="0.3">
      <c r="A320" s="440"/>
      <c r="B320" s="440"/>
      <c r="C320" s="440"/>
      <c r="D320" s="442"/>
      <c r="E320" s="445"/>
      <c r="F320" s="446"/>
      <c r="G320" s="384"/>
      <c r="H320" s="450"/>
      <c r="I320" s="451"/>
      <c r="J320" s="451"/>
      <c r="K320" s="452"/>
      <c r="L320" s="392"/>
    </row>
    <row r="321" spans="1:12" ht="18" customHeight="1" x14ac:dyDescent="0.3">
      <c r="A321" s="380" t="s">
        <v>87</v>
      </c>
      <c r="B321" s="380"/>
      <c r="C321" s="380"/>
      <c r="D321" s="382" t="str">
        <f>$C312</f>
        <v>[0803020911_18v3]</v>
      </c>
      <c r="E321" s="382"/>
      <c r="F321" s="382"/>
      <c r="G321" s="382" t="s">
        <v>88</v>
      </c>
      <c r="H321" s="385"/>
      <c r="I321" s="386"/>
      <c r="J321" s="386"/>
      <c r="K321" s="387"/>
      <c r="L321" s="391" t="s">
        <v>86</v>
      </c>
    </row>
    <row r="322" spans="1:12" ht="18" customHeight="1" x14ac:dyDescent="0.3">
      <c r="A322" s="381"/>
      <c r="B322" s="381"/>
      <c r="C322" s="381"/>
      <c r="D322" s="383"/>
      <c r="E322" s="383"/>
      <c r="F322" s="383"/>
      <c r="G322" s="384"/>
      <c r="H322" s="388"/>
      <c r="I322" s="389"/>
      <c r="J322" s="389"/>
      <c r="K322" s="390"/>
      <c r="L322" s="392"/>
    </row>
    <row r="323" spans="1:12" ht="18" customHeight="1" x14ac:dyDescent="0.3">
      <c r="A323" s="393" t="str">
        <f>VLOOKUP('전체 훈련생 평가 채점표'!$L$2,'기초데이타(작성필히)'!$A$5:$P$19,7)</f>
        <v>스타일가이드제작 및 시안디자인 제작2</v>
      </c>
      <c r="B323" s="393"/>
      <c r="C323" s="393"/>
      <c r="D323" s="383" t="str">
        <f>$C313</f>
        <v xml:space="preserve">  스마트문화앱UX설계</v>
      </c>
      <c r="E323" s="383"/>
      <c r="F323" s="383"/>
      <c r="G323" s="382" t="s">
        <v>89</v>
      </c>
      <c r="H323" s="385"/>
      <c r="I323" s="386"/>
      <c r="J323" s="386"/>
      <c r="K323" s="387"/>
      <c r="L323" s="391" t="s">
        <v>86</v>
      </c>
    </row>
    <row r="324" spans="1:12" ht="18" customHeight="1" x14ac:dyDescent="0.3">
      <c r="A324" s="394"/>
      <c r="B324" s="394"/>
      <c r="C324" s="394"/>
      <c r="D324" s="384"/>
      <c r="E324" s="384"/>
      <c r="F324" s="384"/>
      <c r="G324" s="384"/>
      <c r="H324" s="388"/>
      <c r="I324" s="389"/>
      <c r="J324" s="389"/>
      <c r="K324" s="390"/>
      <c r="L324" s="392"/>
    </row>
    <row r="325" spans="1:12" ht="18" customHeight="1" x14ac:dyDescent="0.3">
      <c r="A325" s="395" t="s">
        <v>90</v>
      </c>
      <c r="B325" s="396"/>
      <c r="C325" s="396"/>
      <c r="D325" s="396"/>
      <c r="E325" s="396"/>
      <c r="F325" s="397"/>
      <c r="G325" s="398" t="s">
        <v>91</v>
      </c>
      <c r="H325" s="399"/>
      <c r="I325" s="399"/>
      <c r="J325" s="399"/>
      <c r="K325" s="399"/>
      <c r="L325" s="400"/>
    </row>
    <row r="326" spans="1:12" ht="18" customHeight="1" x14ac:dyDescent="0.3">
      <c r="A326" s="395"/>
      <c r="B326" s="396"/>
      <c r="C326" s="396"/>
      <c r="D326" s="396"/>
      <c r="E326" s="396"/>
      <c r="F326" s="397"/>
      <c r="G326" s="401"/>
      <c r="H326" s="402"/>
      <c r="I326" s="402"/>
      <c r="J326" s="402"/>
      <c r="K326" s="402"/>
      <c r="L326" s="403"/>
    </row>
    <row r="327" spans="1:12" ht="18" customHeight="1" x14ac:dyDescent="0.3">
      <c r="A327" s="341" t="s">
        <v>126</v>
      </c>
      <c r="B327" s="342"/>
      <c r="C327" s="342"/>
      <c r="D327" s="342"/>
      <c r="E327" s="342"/>
      <c r="F327" s="343"/>
      <c r="G327" s="404" t="s">
        <v>92</v>
      </c>
      <c r="H327" s="406" t="s">
        <v>93</v>
      </c>
      <c r="I327" s="407"/>
      <c r="J327" s="407"/>
      <c r="K327" s="407"/>
      <c r="L327" s="408"/>
    </row>
    <row r="328" spans="1:12" ht="18" customHeight="1" x14ac:dyDescent="0.3">
      <c r="A328" s="341"/>
      <c r="B328" s="342"/>
      <c r="C328" s="342"/>
      <c r="D328" s="342"/>
      <c r="E328" s="342"/>
      <c r="F328" s="343"/>
      <c r="G328" s="405"/>
      <c r="H328" s="409"/>
      <c r="I328" s="410"/>
      <c r="J328" s="410"/>
      <c r="K328" s="410"/>
      <c r="L328" s="411"/>
    </row>
    <row r="329" spans="1:12" ht="18" customHeight="1" x14ac:dyDescent="0.3">
      <c r="A329" s="341"/>
      <c r="B329" s="342"/>
      <c r="C329" s="342"/>
      <c r="D329" s="342"/>
      <c r="E329" s="342"/>
      <c r="F329" s="343"/>
      <c r="G329" s="323" t="str">
        <f>IF($J347&gt;=90,"○","")</f>
        <v/>
      </c>
      <c r="H329" s="326" t="s">
        <v>94</v>
      </c>
      <c r="I329" s="327"/>
      <c r="J329" s="327"/>
      <c r="K329" s="327"/>
      <c r="L329" s="328"/>
    </row>
    <row r="330" spans="1:12" ht="18" customHeight="1" x14ac:dyDescent="0.3">
      <c r="A330" s="341"/>
      <c r="B330" s="342"/>
      <c r="C330" s="342"/>
      <c r="D330" s="342"/>
      <c r="E330" s="342"/>
      <c r="F330" s="343"/>
      <c r="G330" s="324"/>
      <c r="H330" s="329"/>
      <c r="I330" s="330"/>
      <c r="J330" s="330"/>
      <c r="K330" s="330"/>
      <c r="L330" s="331"/>
    </row>
    <row r="331" spans="1:12" ht="18" customHeight="1" x14ac:dyDescent="0.3">
      <c r="A331" s="341"/>
      <c r="B331" s="342"/>
      <c r="C331" s="342"/>
      <c r="D331" s="342"/>
      <c r="E331" s="342"/>
      <c r="F331" s="343"/>
      <c r="G331" s="325"/>
      <c r="H331" s="332"/>
      <c r="I331" s="333"/>
      <c r="J331" s="333"/>
      <c r="K331" s="333"/>
      <c r="L331" s="334"/>
    </row>
    <row r="332" spans="1:12" ht="18" customHeight="1" x14ac:dyDescent="0.3">
      <c r="A332" s="341"/>
      <c r="B332" s="342"/>
      <c r="C332" s="342"/>
      <c r="D332" s="342"/>
      <c r="E332" s="342"/>
      <c r="F332" s="343"/>
      <c r="G332" s="323" t="str">
        <f>IF(AND($J347&lt;=89.9,$J347&gt;=80),"○","")</f>
        <v>○</v>
      </c>
      <c r="H332" s="326" t="s">
        <v>95</v>
      </c>
      <c r="I332" s="327"/>
      <c r="J332" s="327"/>
      <c r="K332" s="327"/>
      <c r="L332" s="328"/>
    </row>
    <row r="333" spans="1:12" ht="18" customHeight="1" x14ac:dyDescent="0.3">
      <c r="A333" s="341"/>
      <c r="B333" s="342"/>
      <c r="C333" s="342"/>
      <c r="D333" s="342"/>
      <c r="E333" s="342"/>
      <c r="F333" s="343"/>
      <c r="G333" s="324"/>
      <c r="H333" s="329"/>
      <c r="I333" s="330"/>
      <c r="J333" s="330"/>
      <c r="K333" s="330"/>
      <c r="L333" s="331"/>
    </row>
    <row r="334" spans="1:12" ht="18" customHeight="1" x14ac:dyDescent="0.3">
      <c r="A334" s="341"/>
      <c r="B334" s="342"/>
      <c r="C334" s="342"/>
      <c r="D334" s="342"/>
      <c r="E334" s="342"/>
      <c r="F334" s="343"/>
      <c r="G334" s="325"/>
      <c r="H334" s="332"/>
      <c r="I334" s="333"/>
      <c r="J334" s="333"/>
      <c r="K334" s="333"/>
      <c r="L334" s="334"/>
    </row>
    <row r="335" spans="1:12" ht="18" customHeight="1" x14ac:dyDescent="0.3">
      <c r="A335" s="341"/>
      <c r="B335" s="342"/>
      <c r="C335" s="342"/>
      <c r="D335" s="342"/>
      <c r="E335" s="342"/>
      <c r="F335" s="343"/>
      <c r="G335" s="323" t="str">
        <f>IF(AND($J347&lt;=79.9,$J347&gt;=70),"○","")</f>
        <v/>
      </c>
      <c r="H335" s="326" t="s">
        <v>96</v>
      </c>
      <c r="I335" s="327"/>
      <c r="J335" s="327"/>
      <c r="K335" s="327"/>
      <c r="L335" s="328"/>
    </row>
    <row r="336" spans="1:12" ht="18" customHeight="1" x14ac:dyDescent="0.3">
      <c r="A336" s="341"/>
      <c r="B336" s="342"/>
      <c r="C336" s="342"/>
      <c r="D336" s="342"/>
      <c r="E336" s="342"/>
      <c r="F336" s="343"/>
      <c r="G336" s="324"/>
      <c r="H336" s="329"/>
      <c r="I336" s="330"/>
      <c r="J336" s="330"/>
      <c r="K336" s="330"/>
      <c r="L336" s="331"/>
    </row>
    <row r="337" spans="1:12" ht="18" customHeight="1" x14ac:dyDescent="0.3">
      <c r="A337" s="344" t="str">
        <f>"- "&amp;'전체 훈련생 평가 채점표'!$G$8</f>
        <v>- 0</v>
      </c>
      <c r="B337" s="345"/>
      <c r="C337" s="345"/>
      <c r="D337" s="345"/>
      <c r="E337" s="345"/>
      <c r="F337" s="346"/>
      <c r="G337" s="325"/>
      <c r="H337" s="332"/>
      <c r="I337" s="333"/>
      <c r="J337" s="333"/>
      <c r="K337" s="333"/>
      <c r="L337" s="334"/>
    </row>
    <row r="338" spans="1:12" ht="18" customHeight="1" x14ac:dyDescent="0.3">
      <c r="A338" s="344" t="str">
        <f>"- "&amp;'전체 훈련생 평가 채점표'!$F$8</f>
        <v>- 포트폴리오</v>
      </c>
      <c r="B338" s="345"/>
      <c r="C338" s="345"/>
      <c r="D338" s="345"/>
      <c r="E338" s="345"/>
      <c r="F338" s="346"/>
      <c r="G338" s="323" t="str">
        <f>IF(AND($J347&lt;=69.9,$J347&gt;=60),"○","")</f>
        <v/>
      </c>
      <c r="H338" s="326" t="s">
        <v>97</v>
      </c>
      <c r="I338" s="327"/>
      <c r="J338" s="327"/>
      <c r="K338" s="327"/>
      <c r="L338" s="328"/>
    </row>
    <row r="339" spans="1:12" ht="18" customHeight="1" x14ac:dyDescent="0.3">
      <c r="A339" s="347"/>
      <c r="B339" s="348"/>
      <c r="C339" s="348"/>
      <c r="D339" s="348"/>
      <c r="E339" s="348"/>
      <c r="F339" s="349"/>
      <c r="G339" s="324"/>
      <c r="H339" s="329"/>
      <c r="I339" s="330"/>
      <c r="J339" s="330"/>
      <c r="K339" s="330"/>
      <c r="L339" s="331"/>
    </row>
    <row r="340" spans="1:12" ht="18" customHeight="1" x14ac:dyDescent="0.3">
      <c r="A340" s="347"/>
      <c r="B340" s="348"/>
      <c r="C340" s="348"/>
      <c r="D340" s="348"/>
      <c r="E340" s="348"/>
      <c r="F340" s="349"/>
      <c r="G340" s="325"/>
      <c r="H340" s="332"/>
      <c r="I340" s="333"/>
      <c r="J340" s="333"/>
      <c r="K340" s="333"/>
      <c r="L340" s="334"/>
    </row>
    <row r="341" spans="1:12" ht="18" customHeight="1" x14ac:dyDescent="0.3">
      <c r="A341" s="347"/>
      <c r="B341" s="348"/>
      <c r="C341" s="348"/>
      <c r="D341" s="348"/>
      <c r="E341" s="348"/>
      <c r="F341" s="349"/>
      <c r="G341" s="323" t="str">
        <f>IF($J347&lt;=59.9,"○","")</f>
        <v/>
      </c>
      <c r="H341" s="326" t="s">
        <v>98</v>
      </c>
      <c r="I341" s="327"/>
      <c r="J341" s="327"/>
      <c r="K341" s="327"/>
      <c r="L341" s="328"/>
    </row>
    <row r="342" spans="1:12" ht="18" customHeight="1" x14ac:dyDescent="0.3">
      <c r="A342" s="347"/>
      <c r="B342" s="348"/>
      <c r="C342" s="348"/>
      <c r="D342" s="348"/>
      <c r="E342" s="348"/>
      <c r="F342" s="349"/>
      <c r="G342" s="324"/>
      <c r="H342" s="329"/>
      <c r="I342" s="330"/>
      <c r="J342" s="330"/>
      <c r="K342" s="330"/>
      <c r="L342" s="331"/>
    </row>
    <row r="343" spans="1:12" ht="18" customHeight="1" x14ac:dyDescent="0.3">
      <c r="A343" s="347"/>
      <c r="B343" s="348"/>
      <c r="C343" s="348"/>
      <c r="D343" s="348"/>
      <c r="E343" s="348"/>
      <c r="F343" s="349"/>
      <c r="G343" s="325"/>
      <c r="H343" s="332"/>
      <c r="I343" s="333"/>
      <c r="J343" s="333"/>
      <c r="K343" s="333"/>
      <c r="L343" s="334"/>
    </row>
    <row r="344" spans="1:12" ht="18" customHeight="1" x14ac:dyDescent="0.3">
      <c r="A344" s="347"/>
      <c r="B344" s="348"/>
      <c r="C344" s="348"/>
      <c r="D344" s="348"/>
      <c r="E344" s="348"/>
      <c r="F344" s="349"/>
      <c r="G344" s="335" t="s">
        <v>99</v>
      </c>
      <c r="H344" s="336"/>
      <c r="I344" s="336"/>
      <c r="J344" s="336"/>
      <c r="K344" s="336"/>
      <c r="L344" s="337"/>
    </row>
    <row r="345" spans="1:12" ht="18" customHeight="1" x14ac:dyDescent="0.3">
      <c r="A345" s="350"/>
      <c r="B345" s="351"/>
      <c r="C345" s="351"/>
      <c r="D345" s="351"/>
      <c r="E345" s="351"/>
      <c r="F345" s="352"/>
      <c r="G345" s="338"/>
      <c r="H345" s="339"/>
      <c r="I345" s="339"/>
      <c r="J345" s="339"/>
      <c r="K345" s="339"/>
      <c r="L345" s="340"/>
    </row>
    <row r="346" spans="1:12" ht="18" customHeight="1" x14ac:dyDescent="0.3">
      <c r="A346" s="353">
        <f>A302</f>
        <v>0</v>
      </c>
      <c r="B346" s="354"/>
      <c r="C346" s="355"/>
      <c r="D346" s="356"/>
      <c r="E346" s="357"/>
      <c r="F346" s="357"/>
      <c r="G346" s="357"/>
      <c r="H346" s="357"/>
      <c r="I346" s="358"/>
      <c r="J346" s="359" t="s">
        <v>125</v>
      </c>
      <c r="K346" s="360"/>
      <c r="L346" s="361"/>
    </row>
    <row r="347" spans="1:12" ht="18" customHeight="1" x14ac:dyDescent="0.3">
      <c r="A347" s="362" t="str">
        <f>A303</f>
        <v>포트폴리오</v>
      </c>
      <c r="B347" s="363"/>
      <c r="C347" s="364"/>
      <c r="D347" s="365">
        <f>'전체 훈련생 평가 채점표'!F16</f>
        <v>87.142857142857139</v>
      </c>
      <c r="E347" s="366"/>
      <c r="F347" s="366"/>
      <c r="G347" s="366"/>
      <c r="H347" s="366"/>
      <c r="I347" s="367"/>
      <c r="J347" s="368">
        <f>IFERROR((D346+D347+D348),0)</f>
        <v>87.142857142857139</v>
      </c>
      <c r="K347" s="369"/>
      <c r="L347" s="370"/>
    </row>
    <row r="348" spans="1:12" ht="18" customHeight="1" x14ac:dyDescent="0.3">
      <c r="A348" s="374">
        <f>A304</f>
        <v>0</v>
      </c>
      <c r="B348" s="375"/>
      <c r="C348" s="376"/>
      <c r="D348" s="377">
        <f>'전체 훈련생 평가 채점표'!G16</f>
        <v>0</v>
      </c>
      <c r="E348" s="378"/>
      <c r="F348" s="378"/>
      <c r="G348" s="378"/>
      <c r="H348" s="378"/>
      <c r="I348" s="379"/>
      <c r="J348" s="371"/>
      <c r="K348" s="372"/>
      <c r="L348" s="373"/>
    </row>
    <row r="349" spans="1:12" ht="18" customHeight="1" x14ac:dyDescent="0.3">
      <c r="A349" s="303" t="s">
        <v>11</v>
      </c>
      <c r="B349" s="304"/>
      <c r="C349" s="304"/>
      <c r="D349" s="304"/>
      <c r="E349" s="304"/>
      <c r="F349" s="304"/>
      <c r="G349" s="304"/>
      <c r="H349" s="304"/>
      <c r="I349" s="304"/>
      <c r="J349" s="304"/>
      <c r="K349" s="304"/>
      <c r="L349" s="305"/>
    </row>
    <row r="350" spans="1:12" ht="18" customHeight="1" x14ac:dyDescent="0.3">
      <c r="A350" s="306" t="s">
        <v>100</v>
      </c>
      <c r="B350" s="307"/>
      <c r="C350" s="307"/>
      <c r="D350" s="307"/>
      <c r="E350" s="307"/>
      <c r="F350" s="307"/>
      <c r="G350" s="307"/>
      <c r="H350" s="307"/>
      <c r="I350" s="307"/>
      <c r="J350" s="307"/>
      <c r="K350" s="307"/>
      <c r="L350" s="308"/>
    </row>
    <row r="351" spans="1:12" ht="18" customHeight="1" x14ac:dyDescent="0.3">
      <c r="A351" s="309" t="s">
        <v>92</v>
      </c>
      <c r="B351" s="309"/>
      <c r="C351" s="309"/>
      <c r="D351" s="310" t="s">
        <v>101</v>
      </c>
      <c r="E351" s="311"/>
      <c r="F351" s="310" t="s">
        <v>102</v>
      </c>
      <c r="G351" s="312"/>
      <c r="H351" s="311"/>
      <c r="I351" s="313">
        <f>$J347</f>
        <v>87.142857142857139</v>
      </c>
      <c r="J351" s="313"/>
      <c r="K351" s="315" t="s">
        <v>103</v>
      </c>
      <c r="L351" s="316"/>
    </row>
    <row r="352" spans="1:12" ht="18" customHeight="1" x14ac:dyDescent="0.3">
      <c r="A352" s="319" t="s">
        <v>104</v>
      </c>
      <c r="B352" s="319"/>
      <c r="C352" s="319"/>
      <c r="D352" s="320" t="s">
        <v>105</v>
      </c>
      <c r="E352" s="321"/>
      <c r="F352" s="320" t="s">
        <v>106</v>
      </c>
      <c r="G352" s="322"/>
      <c r="H352" s="321"/>
      <c r="I352" s="314"/>
      <c r="J352" s="314"/>
      <c r="K352" s="317"/>
      <c r="L352" s="318"/>
    </row>
    <row r="353" spans="1:12" ht="21.95" customHeight="1" x14ac:dyDescent="0.3">
      <c r="A353" s="453" t="str">
        <f>MID(VLOOKUP('전체 훈련생 평가 채점표'!$L$2,'기초데이타(작성필히)'!$A$5:$P$19,9),18,50)&amp;" 수행평가"</f>
        <v xml:space="preserve">  스마트문화앱UX설계 수행평가</v>
      </c>
      <c r="B353" s="453"/>
      <c r="C353" s="453"/>
      <c r="D353" s="453"/>
      <c r="E353" s="453"/>
      <c r="F353" s="453"/>
      <c r="G353" s="453"/>
      <c r="H353" s="453"/>
      <c r="I353" s="453"/>
      <c r="J353" s="453"/>
      <c r="K353" s="453"/>
      <c r="L353" s="453"/>
    </row>
    <row r="354" spans="1:12" ht="18" customHeight="1" x14ac:dyDescent="0.3">
      <c r="A354" s="309" t="s">
        <v>16</v>
      </c>
      <c r="B354" s="454">
        <f>VLOOKUP('전체 훈련생 평가 채점표'!$L$2,'기초데이타(작성필히)'!$A$5:$P$19,3)</f>
        <v>2021</v>
      </c>
      <c r="C354" s="454" t="s">
        <v>17</v>
      </c>
      <c r="D354" s="455" t="str">
        <f>VLOOKUP('전체 훈련생 평가 채점표'!$L$2,'기초데이타(작성필히)'!$A$5:$P$19,4)</f>
        <v>[디지털디자인]반응형 웹디자인(UIUX) &amp; 웹퍼블리셔 디지털 실무 양성과정 A-5</v>
      </c>
      <c r="E354" s="455"/>
      <c r="F354" s="455"/>
      <c r="G354" s="454" t="s">
        <v>18</v>
      </c>
      <c r="H354" s="359" t="str">
        <f>VLOOKUP('전체 훈련생 평가 채점표'!$L$2,'기초데이타(작성필히)'!$A$5:$P$19,5)</f>
        <v>21.08.31 ~ 22.02.07</v>
      </c>
      <c r="I354" s="360"/>
      <c r="J354" s="361"/>
      <c r="K354" s="460" t="s">
        <v>78</v>
      </c>
      <c r="L354" s="309" t="str">
        <f>VLOOKUP('전체 훈련생 평가 채점표'!$L$2,'기초데이타(작성필히)'!$A$5:$P$19,6)</f>
        <v>760H</v>
      </c>
    </row>
    <row r="355" spans="1:12" ht="18" customHeight="1" x14ac:dyDescent="0.3">
      <c r="A355" s="412"/>
      <c r="B355" s="413"/>
      <c r="C355" s="413"/>
      <c r="D355" s="456"/>
      <c r="E355" s="456"/>
      <c r="F355" s="456"/>
      <c r="G355" s="413"/>
      <c r="H355" s="457"/>
      <c r="I355" s="458"/>
      <c r="J355" s="459"/>
      <c r="K355" s="461"/>
      <c r="L355" s="412"/>
    </row>
    <row r="356" spans="1:12" ht="18" customHeight="1" x14ac:dyDescent="0.3">
      <c r="A356" s="412" t="s">
        <v>23</v>
      </c>
      <c r="B356" s="412"/>
      <c r="C356" s="412" t="str">
        <f>LEFT(VLOOKUP('전체 훈련생 평가 채점표'!$L$2,'기초데이타(작성필히)'!$A$5:$P$19,9),17)</f>
        <v>[0803020911_18v3]</v>
      </c>
      <c r="D356" s="412"/>
      <c r="E356" s="412"/>
      <c r="F356" s="412"/>
      <c r="G356" s="413" t="s">
        <v>24</v>
      </c>
      <c r="H356" s="412" t="str">
        <f>VLOOKUP('전체 훈련생 평가 채점표'!$L$2,'기초데이타(작성필히)'!$A$5:$P$19,12)</f>
        <v>이창훈</v>
      </c>
      <c r="I356" s="412"/>
      <c r="J356" s="412"/>
      <c r="K356" s="414"/>
      <c r="L356" s="415" t="s">
        <v>25</v>
      </c>
    </row>
    <row r="357" spans="1:12" ht="18" customHeight="1" x14ac:dyDescent="0.3">
      <c r="A357" s="412"/>
      <c r="B357" s="412"/>
      <c r="C357" s="412" t="str">
        <f>MID(VLOOKUP('전체 훈련생 평가 채점표'!$L$2,'기초데이타(작성필히)'!$A$5:$P$19,9),18,50)</f>
        <v xml:space="preserve">  스마트문화앱UX설계</v>
      </c>
      <c r="D357" s="412"/>
      <c r="E357" s="412"/>
      <c r="F357" s="412"/>
      <c r="G357" s="413"/>
      <c r="H357" s="412"/>
      <c r="I357" s="412"/>
      <c r="J357" s="412"/>
      <c r="K357" s="414"/>
      <c r="L357" s="416"/>
    </row>
    <row r="358" spans="1:12" ht="18" customHeight="1" x14ac:dyDescent="0.3">
      <c r="A358" s="412" t="s">
        <v>79</v>
      </c>
      <c r="B358" s="412"/>
      <c r="C358" s="413" t="str">
        <f>'전체 훈련생 평가 채점표'!B17</f>
        <v>성수진</v>
      </c>
      <c r="D358" s="413" t="s">
        <v>21</v>
      </c>
      <c r="E358" s="418" t="str">
        <f>VLOOKUP('전체 훈련생 평가 채점표'!$L$2,'기초데이타(작성필히)'!$A$5:$P$19,10)</f>
        <v>21.11.11~21.11.24</v>
      </c>
      <c r="F358" s="419"/>
      <c r="G358" s="420"/>
      <c r="H358" s="60" t="s">
        <v>80</v>
      </c>
      <c r="I358" s="61" t="s">
        <v>22</v>
      </c>
      <c r="J358" s="424" t="s">
        <v>81</v>
      </c>
      <c r="K358" s="425"/>
      <c r="L358" s="426"/>
    </row>
    <row r="359" spans="1:12" ht="18" customHeight="1" x14ac:dyDescent="0.3">
      <c r="A359" s="319"/>
      <c r="B359" s="319"/>
      <c r="C359" s="417"/>
      <c r="D359" s="417"/>
      <c r="E359" s="421"/>
      <c r="F359" s="422"/>
      <c r="G359" s="423"/>
      <c r="H359" s="62" t="s">
        <v>113</v>
      </c>
      <c r="I359" s="62">
        <f>VLOOKUP('전체 훈련생 평가 채점표'!$L$2,'기초데이타(작성필히)'!$A$5:$P$19,11)</f>
        <v>70</v>
      </c>
      <c r="J359" s="314" t="s">
        <v>113</v>
      </c>
      <c r="K359" s="314"/>
      <c r="L359" s="427"/>
    </row>
    <row r="360" spans="1:12" ht="18" customHeight="1" x14ac:dyDescent="0.3"/>
    <row r="361" spans="1:12" ht="18" customHeight="1" x14ac:dyDescent="0.3">
      <c r="A361" s="428" t="s">
        <v>82</v>
      </c>
      <c r="B361" s="429"/>
      <c r="C361" s="429"/>
      <c r="D361" s="431" t="s">
        <v>83</v>
      </c>
      <c r="E361" s="431"/>
      <c r="F361" s="431"/>
      <c r="G361" s="433" t="s">
        <v>84</v>
      </c>
      <c r="H361" s="434"/>
      <c r="I361" s="434"/>
      <c r="J361" s="434"/>
      <c r="K361" s="434"/>
      <c r="L361" s="435"/>
    </row>
    <row r="362" spans="1:12" ht="18" customHeight="1" x14ac:dyDescent="0.3">
      <c r="A362" s="430"/>
      <c r="B362" s="430"/>
      <c r="C362" s="430"/>
      <c r="D362" s="432"/>
      <c r="E362" s="432"/>
      <c r="F362" s="432"/>
      <c r="G362" s="436"/>
      <c r="H362" s="437"/>
      <c r="I362" s="437"/>
      <c r="J362" s="437"/>
      <c r="K362" s="437"/>
      <c r="L362" s="438"/>
    </row>
    <row r="363" spans="1:12" ht="18" customHeight="1" x14ac:dyDescent="0.3">
      <c r="A363" s="383" t="str">
        <f>$C358</f>
        <v>성수진</v>
      </c>
      <c r="B363" s="439"/>
      <c r="C363" s="439"/>
      <c r="D363" s="441" t="str">
        <f>$H356</f>
        <v>이창훈</v>
      </c>
      <c r="E363" s="443" t="s">
        <v>25</v>
      </c>
      <c r="F363" s="444"/>
      <c r="G363" s="382" t="s">
        <v>85</v>
      </c>
      <c r="H363" s="447">
        <f>VLOOKUP('전체 훈련생 평가 채점표'!$L$2,'기초데이타(작성필히)'!$A$5:$P$19,13)</f>
        <v>44524</v>
      </c>
      <c r="I363" s="448"/>
      <c r="J363" s="448"/>
      <c r="K363" s="449"/>
      <c r="L363" s="391" t="s">
        <v>86</v>
      </c>
    </row>
    <row r="364" spans="1:12" ht="18" customHeight="1" x14ac:dyDescent="0.3">
      <c r="A364" s="440"/>
      <c r="B364" s="440"/>
      <c r="C364" s="440"/>
      <c r="D364" s="442"/>
      <c r="E364" s="445"/>
      <c r="F364" s="446"/>
      <c r="G364" s="384"/>
      <c r="H364" s="450"/>
      <c r="I364" s="451"/>
      <c r="J364" s="451"/>
      <c r="K364" s="452"/>
      <c r="L364" s="392"/>
    </row>
    <row r="365" spans="1:12" ht="18" customHeight="1" x14ac:dyDescent="0.3">
      <c r="A365" s="380" t="s">
        <v>87</v>
      </c>
      <c r="B365" s="380"/>
      <c r="C365" s="380"/>
      <c r="D365" s="382" t="str">
        <f>$C356</f>
        <v>[0803020911_18v3]</v>
      </c>
      <c r="E365" s="382"/>
      <c r="F365" s="382"/>
      <c r="G365" s="382" t="s">
        <v>88</v>
      </c>
      <c r="H365" s="385"/>
      <c r="I365" s="386"/>
      <c r="J365" s="386"/>
      <c r="K365" s="387"/>
      <c r="L365" s="391" t="s">
        <v>86</v>
      </c>
    </row>
    <row r="366" spans="1:12" ht="18" customHeight="1" x14ac:dyDescent="0.3">
      <c r="A366" s="381"/>
      <c r="B366" s="381"/>
      <c r="C366" s="381"/>
      <c r="D366" s="383"/>
      <c r="E366" s="383"/>
      <c r="F366" s="383"/>
      <c r="G366" s="384"/>
      <c r="H366" s="388"/>
      <c r="I366" s="389"/>
      <c r="J366" s="389"/>
      <c r="K366" s="390"/>
      <c r="L366" s="392"/>
    </row>
    <row r="367" spans="1:12" ht="18" customHeight="1" x14ac:dyDescent="0.3">
      <c r="A367" s="393" t="str">
        <f>VLOOKUP('전체 훈련생 평가 채점표'!$L$2,'기초데이타(작성필히)'!$A$5:$P$19,7)</f>
        <v>스타일가이드제작 및 시안디자인 제작2</v>
      </c>
      <c r="B367" s="393"/>
      <c r="C367" s="393"/>
      <c r="D367" s="383" t="str">
        <f>$C357</f>
        <v xml:space="preserve">  스마트문화앱UX설계</v>
      </c>
      <c r="E367" s="383"/>
      <c r="F367" s="383"/>
      <c r="G367" s="382" t="s">
        <v>89</v>
      </c>
      <c r="H367" s="385"/>
      <c r="I367" s="386"/>
      <c r="J367" s="386"/>
      <c r="K367" s="387"/>
      <c r="L367" s="391" t="s">
        <v>86</v>
      </c>
    </row>
    <row r="368" spans="1:12" ht="18" customHeight="1" x14ac:dyDescent="0.3">
      <c r="A368" s="394"/>
      <c r="B368" s="394"/>
      <c r="C368" s="394"/>
      <c r="D368" s="384"/>
      <c r="E368" s="384"/>
      <c r="F368" s="384"/>
      <c r="G368" s="384"/>
      <c r="H368" s="388"/>
      <c r="I368" s="389"/>
      <c r="J368" s="389"/>
      <c r="K368" s="390"/>
      <c r="L368" s="392"/>
    </row>
    <row r="369" spans="1:12" ht="18" customHeight="1" x14ac:dyDescent="0.3">
      <c r="A369" s="395" t="s">
        <v>90</v>
      </c>
      <c r="B369" s="396"/>
      <c r="C369" s="396"/>
      <c r="D369" s="396"/>
      <c r="E369" s="396"/>
      <c r="F369" s="397"/>
      <c r="G369" s="398" t="s">
        <v>91</v>
      </c>
      <c r="H369" s="399"/>
      <c r="I369" s="399"/>
      <c r="J369" s="399"/>
      <c r="K369" s="399"/>
      <c r="L369" s="400"/>
    </row>
    <row r="370" spans="1:12" ht="18" customHeight="1" x14ac:dyDescent="0.3">
      <c r="A370" s="395"/>
      <c r="B370" s="396"/>
      <c r="C370" s="396"/>
      <c r="D370" s="396"/>
      <c r="E370" s="396"/>
      <c r="F370" s="397"/>
      <c r="G370" s="401"/>
      <c r="H370" s="402"/>
      <c r="I370" s="402"/>
      <c r="J370" s="402"/>
      <c r="K370" s="402"/>
      <c r="L370" s="403"/>
    </row>
    <row r="371" spans="1:12" ht="18" customHeight="1" x14ac:dyDescent="0.3">
      <c r="A371" s="341" t="s">
        <v>126</v>
      </c>
      <c r="B371" s="342"/>
      <c r="C371" s="342"/>
      <c r="D371" s="342"/>
      <c r="E371" s="342"/>
      <c r="F371" s="343"/>
      <c r="G371" s="404" t="s">
        <v>92</v>
      </c>
      <c r="H371" s="406" t="s">
        <v>93</v>
      </c>
      <c r="I371" s="407"/>
      <c r="J371" s="407"/>
      <c r="K371" s="407"/>
      <c r="L371" s="408"/>
    </row>
    <row r="372" spans="1:12" ht="18" customHeight="1" x14ac:dyDescent="0.3">
      <c r="A372" s="341"/>
      <c r="B372" s="342"/>
      <c r="C372" s="342"/>
      <c r="D372" s="342"/>
      <c r="E372" s="342"/>
      <c r="F372" s="343"/>
      <c r="G372" s="405"/>
      <c r="H372" s="409"/>
      <c r="I372" s="410"/>
      <c r="J372" s="410"/>
      <c r="K372" s="410"/>
      <c r="L372" s="411"/>
    </row>
    <row r="373" spans="1:12" ht="18" customHeight="1" x14ac:dyDescent="0.3">
      <c r="A373" s="341"/>
      <c r="B373" s="342"/>
      <c r="C373" s="342"/>
      <c r="D373" s="342"/>
      <c r="E373" s="342"/>
      <c r="F373" s="343"/>
      <c r="G373" s="323" t="str">
        <f>IF($J391&gt;=90,"○","")</f>
        <v>○</v>
      </c>
      <c r="H373" s="326" t="s">
        <v>94</v>
      </c>
      <c r="I373" s="327"/>
      <c r="J373" s="327"/>
      <c r="K373" s="327"/>
      <c r="L373" s="328"/>
    </row>
    <row r="374" spans="1:12" ht="18" customHeight="1" x14ac:dyDescent="0.3">
      <c r="A374" s="341"/>
      <c r="B374" s="342"/>
      <c r="C374" s="342"/>
      <c r="D374" s="342"/>
      <c r="E374" s="342"/>
      <c r="F374" s="343"/>
      <c r="G374" s="324"/>
      <c r="H374" s="329"/>
      <c r="I374" s="330"/>
      <c r="J374" s="330"/>
      <c r="K374" s="330"/>
      <c r="L374" s="331"/>
    </row>
    <row r="375" spans="1:12" ht="18" customHeight="1" x14ac:dyDescent="0.3">
      <c r="A375" s="341"/>
      <c r="B375" s="342"/>
      <c r="C375" s="342"/>
      <c r="D375" s="342"/>
      <c r="E375" s="342"/>
      <c r="F375" s="343"/>
      <c r="G375" s="325"/>
      <c r="H375" s="332"/>
      <c r="I375" s="333"/>
      <c r="J375" s="333"/>
      <c r="K375" s="333"/>
      <c r="L375" s="334"/>
    </row>
    <row r="376" spans="1:12" ht="18" customHeight="1" x14ac:dyDescent="0.3">
      <c r="A376" s="341"/>
      <c r="B376" s="342"/>
      <c r="C376" s="342"/>
      <c r="D376" s="342"/>
      <c r="E376" s="342"/>
      <c r="F376" s="343"/>
      <c r="G376" s="323" t="str">
        <f>IF(AND($J391&lt;=89.9,$J391&gt;=80),"○","")</f>
        <v/>
      </c>
      <c r="H376" s="326" t="s">
        <v>95</v>
      </c>
      <c r="I376" s="327"/>
      <c r="J376" s="327"/>
      <c r="K376" s="327"/>
      <c r="L376" s="328"/>
    </row>
    <row r="377" spans="1:12" ht="18" customHeight="1" x14ac:dyDescent="0.3">
      <c r="A377" s="341"/>
      <c r="B377" s="342"/>
      <c r="C377" s="342"/>
      <c r="D377" s="342"/>
      <c r="E377" s="342"/>
      <c r="F377" s="343"/>
      <c r="G377" s="324"/>
      <c r="H377" s="329"/>
      <c r="I377" s="330"/>
      <c r="J377" s="330"/>
      <c r="K377" s="330"/>
      <c r="L377" s="331"/>
    </row>
    <row r="378" spans="1:12" ht="18" customHeight="1" x14ac:dyDescent="0.3">
      <c r="A378" s="341"/>
      <c r="B378" s="342"/>
      <c r="C378" s="342"/>
      <c r="D378" s="342"/>
      <c r="E378" s="342"/>
      <c r="F378" s="343"/>
      <c r="G378" s="325"/>
      <c r="H378" s="332"/>
      <c r="I378" s="333"/>
      <c r="J378" s="333"/>
      <c r="K378" s="333"/>
      <c r="L378" s="334"/>
    </row>
    <row r="379" spans="1:12" ht="18" customHeight="1" x14ac:dyDescent="0.3">
      <c r="A379" s="341"/>
      <c r="B379" s="342"/>
      <c r="C379" s="342"/>
      <c r="D379" s="342"/>
      <c r="E379" s="342"/>
      <c r="F379" s="343"/>
      <c r="G379" s="323" t="str">
        <f>IF(AND($J391&lt;=79.9,$J391&gt;=70),"○","")</f>
        <v/>
      </c>
      <c r="H379" s="326" t="s">
        <v>96</v>
      </c>
      <c r="I379" s="327"/>
      <c r="J379" s="327"/>
      <c r="K379" s="327"/>
      <c r="L379" s="328"/>
    </row>
    <row r="380" spans="1:12" ht="18" customHeight="1" x14ac:dyDescent="0.3">
      <c r="A380" s="341"/>
      <c r="B380" s="342"/>
      <c r="C380" s="342"/>
      <c r="D380" s="342"/>
      <c r="E380" s="342"/>
      <c r="F380" s="343"/>
      <c r="G380" s="324"/>
      <c r="H380" s="329"/>
      <c r="I380" s="330"/>
      <c r="J380" s="330"/>
      <c r="K380" s="330"/>
      <c r="L380" s="331"/>
    </row>
    <row r="381" spans="1:12" ht="18" customHeight="1" x14ac:dyDescent="0.3">
      <c r="A381" s="344" t="str">
        <f>"- "&amp;'전체 훈련생 평가 채점표'!$G$8</f>
        <v>- 0</v>
      </c>
      <c r="B381" s="345"/>
      <c r="C381" s="345"/>
      <c r="D381" s="345"/>
      <c r="E381" s="345"/>
      <c r="F381" s="346"/>
      <c r="G381" s="325"/>
      <c r="H381" s="332"/>
      <c r="I381" s="333"/>
      <c r="J381" s="333"/>
      <c r="K381" s="333"/>
      <c r="L381" s="334"/>
    </row>
    <row r="382" spans="1:12" ht="18" customHeight="1" x14ac:dyDescent="0.3">
      <c r="A382" s="344" t="str">
        <f>"- "&amp;'전체 훈련생 평가 채점표'!$F$8</f>
        <v>- 포트폴리오</v>
      </c>
      <c r="B382" s="345"/>
      <c r="C382" s="345"/>
      <c r="D382" s="345"/>
      <c r="E382" s="345"/>
      <c r="F382" s="346"/>
      <c r="G382" s="323" t="str">
        <f>IF(AND($J391&lt;=69.9,$J391&gt;=60),"○","")</f>
        <v/>
      </c>
      <c r="H382" s="326" t="s">
        <v>97</v>
      </c>
      <c r="I382" s="327"/>
      <c r="J382" s="327"/>
      <c r="K382" s="327"/>
      <c r="L382" s="328"/>
    </row>
    <row r="383" spans="1:12" ht="18" customHeight="1" x14ac:dyDescent="0.3">
      <c r="A383" s="347"/>
      <c r="B383" s="348"/>
      <c r="C383" s="348"/>
      <c r="D383" s="348"/>
      <c r="E383" s="348"/>
      <c r="F383" s="349"/>
      <c r="G383" s="324"/>
      <c r="H383" s="329"/>
      <c r="I383" s="330"/>
      <c r="J383" s="330"/>
      <c r="K383" s="330"/>
      <c r="L383" s="331"/>
    </row>
    <row r="384" spans="1:12" ht="18" customHeight="1" x14ac:dyDescent="0.3">
      <c r="A384" s="347"/>
      <c r="B384" s="348"/>
      <c r="C384" s="348"/>
      <c r="D384" s="348"/>
      <c r="E384" s="348"/>
      <c r="F384" s="349"/>
      <c r="G384" s="325"/>
      <c r="H384" s="332"/>
      <c r="I384" s="333"/>
      <c r="J384" s="333"/>
      <c r="K384" s="333"/>
      <c r="L384" s="334"/>
    </row>
    <row r="385" spans="1:12" ht="18" customHeight="1" x14ac:dyDescent="0.3">
      <c r="A385" s="347"/>
      <c r="B385" s="348"/>
      <c r="C385" s="348"/>
      <c r="D385" s="348"/>
      <c r="E385" s="348"/>
      <c r="F385" s="349"/>
      <c r="G385" s="323" t="str">
        <f>IF($J391&lt;=59.9,"○","")</f>
        <v/>
      </c>
      <c r="H385" s="326" t="s">
        <v>98</v>
      </c>
      <c r="I385" s="327"/>
      <c r="J385" s="327"/>
      <c r="K385" s="327"/>
      <c r="L385" s="328"/>
    </row>
    <row r="386" spans="1:12" ht="18" customHeight="1" x14ac:dyDescent="0.3">
      <c r="A386" s="347"/>
      <c r="B386" s="348"/>
      <c r="C386" s="348"/>
      <c r="D386" s="348"/>
      <c r="E386" s="348"/>
      <c r="F386" s="349"/>
      <c r="G386" s="324"/>
      <c r="H386" s="329"/>
      <c r="I386" s="330"/>
      <c r="J386" s="330"/>
      <c r="K386" s="330"/>
      <c r="L386" s="331"/>
    </row>
    <row r="387" spans="1:12" ht="18" customHeight="1" x14ac:dyDescent="0.3">
      <c r="A387" s="347"/>
      <c r="B387" s="348"/>
      <c r="C387" s="348"/>
      <c r="D387" s="348"/>
      <c r="E387" s="348"/>
      <c r="F387" s="349"/>
      <c r="G387" s="325"/>
      <c r="H387" s="332"/>
      <c r="I387" s="333"/>
      <c r="J387" s="333"/>
      <c r="K387" s="333"/>
      <c r="L387" s="334"/>
    </row>
    <row r="388" spans="1:12" ht="18" customHeight="1" x14ac:dyDescent="0.3">
      <c r="A388" s="347"/>
      <c r="B388" s="348"/>
      <c r="C388" s="348"/>
      <c r="D388" s="348"/>
      <c r="E388" s="348"/>
      <c r="F388" s="349"/>
      <c r="G388" s="335" t="s">
        <v>99</v>
      </c>
      <c r="H388" s="336"/>
      <c r="I388" s="336"/>
      <c r="J388" s="336"/>
      <c r="K388" s="336"/>
      <c r="L388" s="337"/>
    </row>
    <row r="389" spans="1:12" ht="18" customHeight="1" x14ac:dyDescent="0.3">
      <c r="A389" s="350"/>
      <c r="B389" s="351"/>
      <c r="C389" s="351"/>
      <c r="D389" s="351"/>
      <c r="E389" s="351"/>
      <c r="F389" s="352"/>
      <c r="G389" s="338"/>
      <c r="H389" s="339"/>
      <c r="I389" s="339"/>
      <c r="J389" s="339"/>
      <c r="K389" s="339"/>
      <c r="L389" s="340"/>
    </row>
    <row r="390" spans="1:12" ht="18" customHeight="1" x14ac:dyDescent="0.3">
      <c r="A390" s="353">
        <f>A346</f>
        <v>0</v>
      </c>
      <c r="B390" s="354"/>
      <c r="C390" s="355"/>
      <c r="D390" s="356"/>
      <c r="E390" s="357"/>
      <c r="F390" s="357"/>
      <c r="G390" s="357"/>
      <c r="H390" s="357"/>
      <c r="I390" s="358"/>
      <c r="J390" s="359" t="s">
        <v>125</v>
      </c>
      <c r="K390" s="360"/>
      <c r="L390" s="361"/>
    </row>
    <row r="391" spans="1:12" ht="18" customHeight="1" x14ac:dyDescent="0.3">
      <c r="A391" s="362" t="str">
        <f>A347</f>
        <v>포트폴리오</v>
      </c>
      <c r="B391" s="363"/>
      <c r="C391" s="364"/>
      <c r="D391" s="365">
        <f>'전체 훈련생 평가 채점표'!F17</f>
        <v>91.428571428571431</v>
      </c>
      <c r="E391" s="366"/>
      <c r="F391" s="366"/>
      <c r="G391" s="366"/>
      <c r="H391" s="366"/>
      <c r="I391" s="367"/>
      <c r="J391" s="368">
        <f>IFERROR((D390+D391+D392),0)</f>
        <v>91.428571428571431</v>
      </c>
      <c r="K391" s="369"/>
      <c r="L391" s="370"/>
    </row>
    <row r="392" spans="1:12" ht="18" customHeight="1" x14ac:dyDescent="0.3">
      <c r="A392" s="374">
        <f>A348</f>
        <v>0</v>
      </c>
      <c r="B392" s="375"/>
      <c r="C392" s="376"/>
      <c r="D392" s="377">
        <f>'전체 훈련생 평가 채점표'!G17</f>
        <v>0</v>
      </c>
      <c r="E392" s="378"/>
      <c r="F392" s="378"/>
      <c r="G392" s="378"/>
      <c r="H392" s="378"/>
      <c r="I392" s="379"/>
      <c r="J392" s="371"/>
      <c r="K392" s="372"/>
      <c r="L392" s="373"/>
    </row>
    <row r="393" spans="1:12" ht="18" customHeight="1" x14ac:dyDescent="0.3">
      <c r="A393" s="303" t="s">
        <v>11</v>
      </c>
      <c r="B393" s="304"/>
      <c r="C393" s="304"/>
      <c r="D393" s="304"/>
      <c r="E393" s="304"/>
      <c r="F393" s="304"/>
      <c r="G393" s="304"/>
      <c r="H393" s="304"/>
      <c r="I393" s="304"/>
      <c r="J393" s="304"/>
      <c r="K393" s="304"/>
      <c r="L393" s="305"/>
    </row>
    <row r="394" spans="1:12" ht="18" customHeight="1" x14ac:dyDescent="0.3">
      <c r="A394" s="306" t="s">
        <v>100</v>
      </c>
      <c r="B394" s="307"/>
      <c r="C394" s="307"/>
      <c r="D394" s="307"/>
      <c r="E394" s="307"/>
      <c r="F394" s="307"/>
      <c r="G394" s="307"/>
      <c r="H394" s="307"/>
      <c r="I394" s="307"/>
      <c r="J394" s="307"/>
      <c r="K394" s="307"/>
      <c r="L394" s="308"/>
    </row>
    <row r="395" spans="1:12" ht="18" customHeight="1" x14ac:dyDescent="0.3">
      <c r="A395" s="309" t="s">
        <v>92</v>
      </c>
      <c r="B395" s="309"/>
      <c r="C395" s="309"/>
      <c r="D395" s="310" t="s">
        <v>101</v>
      </c>
      <c r="E395" s="311"/>
      <c r="F395" s="310" t="s">
        <v>102</v>
      </c>
      <c r="G395" s="312"/>
      <c r="H395" s="311"/>
      <c r="I395" s="313">
        <f>$J391</f>
        <v>91.428571428571431</v>
      </c>
      <c r="J395" s="313"/>
      <c r="K395" s="315" t="s">
        <v>103</v>
      </c>
      <c r="L395" s="316"/>
    </row>
    <row r="396" spans="1:12" ht="18" customHeight="1" x14ac:dyDescent="0.3">
      <c r="A396" s="319" t="s">
        <v>104</v>
      </c>
      <c r="B396" s="319"/>
      <c r="C396" s="319"/>
      <c r="D396" s="320" t="s">
        <v>105</v>
      </c>
      <c r="E396" s="321"/>
      <c r="F396" s="320" t="s">
        <v>106</v>
      </c>
      <c r="G396" s="322"/>
      <c r="H396" s="321"/>
      <c r="I396" s="314"/>
      <c r="J396" s="314"/>
      <c r="K396" s="317"/>
      <c r="L396" s="318"/>
    </row>
    <row r="397" spans="1:12" ht="18" customHeight="1" x14ac:dyDescent="0.3">
      <c r="A397" s="453" t="str">
        <f>MID(VLOOKUP('전체 훈련생 평가 채점표'!$L$2,'기초데이타(작성필히)'!$A$5:$P$19,9),18,50)&amp;" 수행평가"</f>
        <v xml:space="preserve">  스마트문화앱UX설계 수행평가</v>
      </c>
      <c r="B397" s="453"/>
      <c r="C397" s="453"/>
      <c r="D397" s="453"/>
      <c r="E397" s="453"/>
      <c r="F397" s="453"/>
      <c r="G397" s="453"/>
      <c r="H397" s="453"/>
      <c r="I397" s="453"/>
      <c r="J397" s="453"/>
      <c r="K397" s="453"/>
      <c r="L397" s="453"/>
    </row>
    <row r="398" spans="1:12" ht="18" customHeight="1" x14ac:dyDescent="0.3">
      <c r="A398" s="309" t="s">
        <v>16</v>
      </c>
      <c r="B398" s="454">
        <f>VLOOKUP('전체 훈련생 평가 채점표'!$L$2,'기초데이타(작성필히)'!$A$5:$P$19,3)</f>
        <v>2021</v>
      </c>
      <c r="C398" s="454" t="s">
        <v>17</v>
      </c>
      <c r="D398" s="455" t="str">
        <f>VLOOKUP('전체 훈련생 평가 채점표'!$L$2,'기초데이타(작성필히)'!$A$5:$P$19,4)</f>
        <v>[디지털디자인]반응형 웹디자인(UIUX) &amp; 웹퍼블리셔 디지털 실무 양성과정 A-5</v>
      </c>
      <c r="E398" s="455"/>
      <c r="F398" s="455"/>
      <c r="G398" s="454" t="s">
        <v>18</v>
      </c>
      <c r="H398" s="359" t="str">
        <f>VLOOKUP('전체 훈련생 평가 채점표'!$L$2,'기초데이타(작성필히)'!$A$5:$P$19,5)</f>
        <v>21.08.31 ~ 22.02.07</v>
      </c>
      <c r="I398" s="360"/>
      <c r="J398" s="361"/>
      <c r="K398" s="460" t="s">
        <v>78</v>
      </c>
      <c r="L398" s="309" t="str">
        <f>VLOOKUP('전체 훈련생 평가 채점표'!$L$2,'기초데이타(작성필히)'!$A$5:$P$19,6)</f>
        <v>760H</v>
      </c>
    </row>
    <row r="399" spans="1:12" ht="18" customHeight="1" x14ac:dyDescent="0.3">
      <c r="A399" s="412"/>
      <c r="B399" s="413"/>
      <c r="C399" s="413"/>
      <c r="D399" s="456"/>
      <c r="E399" s="456"/>
      <c r="F399" s="456"/>
      <c r="G399" s="413"/>
      <c r="H399" s="457"/>
      <c r="I399" s="458"/>
      <c r="J399" s="459"/>
      <c r="K399" s="461"/>
      <c r="L399" s="412"/>
    </row>
    <row r="400" spans="1:12" ht="18" customHeight="1" x14ac:dyDescent="0.3">
      <c r="A400" s="412" t="s">
        <v>23</v>
      </c>
      <c r="B400" s="412"/>
      <c r="C400" s="412" t="str">
        <f>LEFT(VLOOKUP('전체 훈련생 평가 채점표'!$L$2,'기초데이타(작성필히)'!$A$5:$P$19,9),17)</f>
        <v>[0803020911_18v3]</v>
      </c>
      <c r="D400" s="412"/>
      <c r="E400" s="412"/>
      <c r="F400" s="412"/>
      <c r="G400" s="413" t="s">
        <v>24</v>
      </c>
      <c r="H400" s="412" t="str">
        <f>VLOOKUP('전체 훈련생 평가 채점표'!$L$2,'기초데이타(작성필히)'!$A$5:$P$19,12)</f>
        <v>이창훈</v>
      </c>
      <c r="I400" s="412"/>
      <c r="J400" s="412"/>
      <c r="K400" s="414"/>
      <c r="L400" s="415" t="s">
        <v>25</v>
      </c>
    </row>
    <row r="401" spans="1:12" ht="18" customHeight="1" x14ac:dyDescent="0.3">
      <c r="A401" s="412"/>
      <c r="B401" s="412"/>
      <c r="C401" s="412" t="str">
        <f>MID(VLOOKUP('전체 훈련생 평가 채점표'!$L$2,'기초데이타(작성필히)'!$A$5:$P$19,9),18,50)</f>
        <v xml:space="preserve">  스마트문화앱UX설계</v>
      </c>
      <c r="D401" s="412"/>
      <c r="E401" s="412"/>
      <c r="F401" s="412"/>
      <c r="G401" s="413"/>
      <c r="H401" s="412"/>
      <c r="I401" s="412"/>
      <c r="J401" s="412"/>
      <c r="K401" s="414"/>
      <c r="L401" s="416"/>
    </row>
    <row r="402" spans="1:12" ht="18" customHeight="1" x14ac:dyDescent="0.3">
      <c r="A402" s="412" t="s">
        <v>79</v>
      </c>
      <c r="B402" s="412"/>
      <c r="C402" s="413" t="str">
        <f>'전체 훈련생 평가 채점표'!B18</f>
        <v>송민서</v>
      </c>
      <c r="D402" s="413" t="s">
        <v>21</v>
      </c>
      <c r="E402" s="418" t="str">
        <f>VLOOKUP('전체 훈련생 평가 채점표'!$L$2,'기초데이타(작성필히)'!$A$5:$P$19,10)</f>
        <v>21.11.11~21.11.24</v>
      </c>
      <c r="F402" s="419"/>
      <c r="G402" s="420"/>
      <c r="H402" s="60" t="s">
        <v>80</v>
      </c>
      <c r="I402" s="61" t="s">
        <v>22</v>
      </c>
      <c r="J402" s="424" t="s">
        <v>81</v>
      </c>
      <c r="K402" s="425"/>
      <c r="L402" s="426"/>
    </row>
    <row r="403" spans="1:12" ht="18" customHeight="1" x14ac:dyDescent="0.3">
      <c r="A403" s="319"/>
      <c r="B403" s="319"/>
      <c r="C403" s="417"/>
      <c r="D403" s="417"/>
      <c r="E403" s="421"/>
      <c r="F403" s="422"/>
      <c r="G403" s="423"/>
      <c r="H403" s="62" t="s">
        <v>113</v>
      </c>
      <c r="I403" s="62">
        <f>VLOOKUP('전체 훈련생 평가 채점표'!$L$2,'기초데이타(작성필히)'!$A$5:$P$19,11)</f>
        <v>70</v>
      </c>
      <c r="J403" s="314" t="s">
        <v>113</v>
      </c>
      <c r="K403" s="314"/>
      <c r="L403" s="427"/>
    </row>
    <row r="404" spans="1:12" ht="18" customHeight="1" x14ac:dyDescent="0.3"/>
    <row r="405" spans="1:12" ht="18" customHeight="1" x14ac:dyDescent="0.3">
      <c r="A405" s="428" t="s">
        <v>82</v>
      </c>
      <c r="B405" s="429"/>
      <c r="C405" s="429"/>
      <c r="D405" s="431" t="s">
        <v>83</v>
      </c>
      <c r="E405" s="431"/>
      <c r="F405" s="431"/>
      <c r="G405" s="433" t="s">
        <v>84</v>
      </c>
      <c r="H405" s="434"/>
      <c r="I405" s="434"/>
      <c r="J405" s="434"/>
      <c r="K405" s="434"/>
      <c r="L405" s="435"/>
    </row>
    <row r="406" spans="1:12" ht="18" customHeight="1" x14ac:dyDescent="0.3">
      <c r="A406" s="430"/>
      <c r="B406" s="430"/>
      <c r="C406" s="430"/>
      <c r="D406" s="432"/>
      <c r="E406" s="432"/>
      <c r="F406" s="432"/>
      <c r="G406" s="436"/>
      <c r="H406" s="437"/>
      <c r="I406" s="437"/>
      <c r="J406" s="437"/>
      <c r="K406" s="437"/>
      <c r="L406" s="438"/>
    </row>
    <row r="407" spans="1:12" ht="18" customHeight="1" x14ac:dyDescent="0.3">
      <c r="A407" s="383" t="str">
        <f>$C402</f>
        <v>송민서</v>
      </c>
      <c r="B407" s="439"/>
      <c r="C407" s="439"/>
      <c r="D407" s="441" t="str">
        <f>$H400</f>
        <v>이창훈</v>
      </c>
      <c r="E407" s="443" t="s">
        <v>25</v>
      </c>
      <c r="F407" s="444"/>
      <c r="G407" s="382" t="s">
        <v>85</v>
      </c>
      <c r="H407" s="447">
        <f>VLOOKUP('전체 훈련생 평가 채점표'!$L$2,'기초데이타(작성필히)'!$A$5:$P$19,13)</f>
        <v>44524</v>
      </c>
      <c r="I407" s="448"/>
      <c r="J407" s="448"/>
      <c r="K407" s="449"/>
      <c r="L407" s="391" t="s">
        <v>86</v>
      </c>
    </row>
    <row r="408" spans="1:12" ht="18" customHeight="1" x14ac:dyDescent="0.3">
      <c r="A408" s="440"/>
      <c r="B408" s="440"/>
      <c r="C408" s="440"/>
      <c r="D408" s="442"/>
      <c r="E408" s="445"/>
      <c r="F408" s="446"/>
      <c r="G408" s="384"/>
      <c r="H408" s="450"/>
      <c r="I408" s="451"/>
      <c r="J408" s="451"/>
      <c r="K408" s="452"/>
      <c r="L408" s="392"/>
    </row>
    <row r="409" spans="1:12" ht="18" customHeight="1" x14ac:dyDescent="0.3">
      <c r="A409" s="380" t="s">
        <v>87</v>
      </c>
      <c r="B409" s="380"/>
      <c r="C409" s="380"/>
      <c r="D409" s="382" t="str">
        <f>$C400</f>
        <v>[0803020911_18v3]</v>
      </c>
      <c r="E409" s="382"/>
      <c r="F409" s="382"/>
      <c r="G409" s="382" t="s">
        <v>88</v>
      </c>
      <c r="H409" s="385"/>
      <c r="I409" s="386"/>
      <c r="J409" s="386"/>
      <c r="K409" s="387"/>
      <c r="L409" s="391" t="s">
        <v>86</v>
      </c>
    </row>
    <row r="410" spans="1:12" ht="18" customHeight="1" x14ac:dyDescent="0.3">
      <c r="A410" s="381"/>
      <c r="B410" s="381"/>
      <c r="C410" s="381"/>
      <c r="D410" s="383"/>
      <c r="E410" s="383"/>
      <c r="F410" s="383"/>
      <c r="G410" s="384"/>
      <c r="H410" s="388"/>
      <c r="I410" s="389"/>
      <c r="J410" s="389"/>
      <c r="K410" s="390"/>
      <c r="L410" s="392"/>
    </row>
    <row r="411" spans="1:12" ht="18" customHeight="1" x14ac:dyDescent="0.3">
      <c r="A411" s="393" t="str">
        <f>VLOOKUP('전체 훈련생 평가 채점표'!$L$2,'기초데이타(작성필히)'!$A$5:$P$19,7)</f>
        <v>스타일가이드제작 및 시안디자인 제작2</v>
      </c>
      <c r="B411" s="393"/>
      <c r="C411" s="393"/>
      <c r="D411" s="383" t="str">
        <f>$C401</f>
        <v xml:space="preserve">  스마트문화앱UX설계</v>
      </c>
      <c r="E411" s="383"/>
      <c r="F411" s="383"/>
      <c r="G411" s="382" t="s">
        <v>89</v>
      </c>
      <c r="H411" s="385"/>
      <c r="I411" s="386"/>
      <c r="J411" s="386"/>
      <c r="K411" s="387"/>
      <c r="L411" s="391" t="s">
        <v>86</v>
      </c>
    </row>
    <row r="412" spans="1:12" ht="18" customHeight="1" x14ac:dyDescent="0.3">
      <c r="A412" s="394"/>
      <c r="B412" s="394"/>
      <c r="C412" s="394"/>
      <c r="D412" s="384"/>
      <c r="E412" s="384"/>
      <c r="F412" s="384"/>
      <c r="G412" s="384"/>
      <c r="H412" s="388"/>
      <c r="I412" s="389"/>
      <c r="J412" s="389"/>
      <c r="K412" s="390"/>
      <c r="L412" s="392"/>
    </row>
    <row r="413" spans="1:12" ht="18" customHeight="1" x14ac:dyDescent="0.3">
      <c r="A413" s="395" t="s">
        <v>90</v>
      </c>
      <c r="B413" s="396"/>
      <c r="C413" s="396"/>
      <c r="D413" s="396"/>
      <c r="E413" s="396"/>
      <c r="F413" s="397"/>
      <c r="G413" s="398" t="s">
        <v>91</v>
      </c>
      <c r="H413" s="399"/>
      <c r="I413" s="399"/>
      <c r="J413" s="399"/>
      <c r="K413" s="399"/>
      <c r="L413" s="400"/>
    </row>
    <row r="414" spans="1:12" ht="18" customHeight="1" x14ac:dyDescent="0.3">
      <c r="A414" s="395"/>
      <c r="B414" s="396"/>
      <c r="C414" s="396"/>
      <c r="D414" s="396"/>
      <c r="E414" s="396"/>
      <c r="F414" s="397"/>
      <c r="G414" s="401"/>
      <c r="H414" s="402"/>
      <c r="I414" s="402"/>
      <c r="J414" s="402"/>
      <c r="K414" s="402"/>
      <c r="L414" s="403"/>
    </row>
    <row r="415" spans="1:12" ht="18" customHeight="1" x14ac:dyDescent="0.3">
      <c r="A415" s="341" t="s">
        <v>126</v>
      </c>
      <c r="B415" s="342"/>
      <c r="C415" s="342"/>
      <c r="D415" s="342"/>
      <c r="E415" s="342"/>
      <c r="F415" s="343"/>
      <c r="G415" s="404" t="s">
        <v>92</v>
      </c>
      <c r="H415" s="406" t="s">
        <v>93</v>
      </c>
      <c r="I415" s="407"/>
      <c r="J415" s="407"/>
      <c r="K415" s="407"/>
      <c r="L415" s="408"/>
    </row>
    <row r="416" spans="1:12" ht="18" customHeight="1" x14ac:dyDescent="0.3">
      <c r="A416" s="341"/>
      <c r="B416" s="342"/>
      <c r="C416" s="342"/>
      <c r="D416" s="342"/>
      <c r="E416" s="342"/>
      <c r="F416" s="343"/>
      <c r="G416" s="405"/>
      <c r="H416" s="409"/>
      <c r="I416" s="410"/>
      <c r="J416" s="410"/>
      <c r="K416" s="410"/>
      <c r="L416" s="411"/>
    </row>
    <row r="417" spans="1:12" ht="18" customHeight="1" x14ac:dyDescent="0.3">
      <c r="A417" s="341"/>
      <c r="B417" s="342"/>
      <c r="C417" s="342"/>
      <c r="D417" s="342"/>
      <c r="E417" s="342"/>
      <c r="F417" s="343"/>
      <c r="G417" s="323" t="str">
        <f>IF($J435&gt;=90,"○","")</f>
        <v/>
      </c>
      <c r="H417" s="326" t="s">
        <v>94</v>
      </c>
      <c r="I417" s="327"/>
      <c r="J417" s="327"/>
      <c r="K417" s="327"/>
      <c r="L417" s="328"/>
    </row>
    <row r="418" spans="1:12" ht="18" customHeight="1" x14ac:dyDescent="0.3">
      <c r="A418" s="341"/>
      <c r="B418" s="342"/>
      <c r="C418" s="342"/>
      <c r="D418" s="342"/>
      <c r="E418" s="342"/>
      <c r="F418" s="343"/>
      <c r="G418" s="324"/>
      <c r="H418" s="329"/>
      <c r="I418" s="330"/>
      <c r="J418" s="330"/>
      <c r="K418" s="330"/>
      <c r="L418" s="331"/>
    </row>
    <row r="419" spans="1:12" ht="18" customHeight="1" x14ac:dyDescent="0.3">
      <c r="A419" s="341"/>
      <c r="B419" s="342"/>
      <c r="C419" s="342"/>
      <c r="D419" s="342"/>
      <c r="E419" s="342"/>
      <c r="F419" s="343"/>
      <c r="G419" s="325"/>
      <c r="H419" s="332"/>
      <c r="I419" s="333"/>
      <c r="J419" s="333"/>
      <c r="K419" s="333"/>
      <c r="L419" s="334"/>
    </row>
    <row r="420" spans="1:12" ht="18" customHeight="1" x14ac:dyDescent="0.3">
      <c r="A420" s="341"/>
      <c r="B420" s="342"/>
      <c r="C420" s="342"/>
      <c r="D420" s="342"/>
      <c r="E420" s="342"/>
      <c r="F420" s="343"/>
      <c r="G420" s="323" t="str">
        <f>IF(AND($J435&lt;=89.9,$J435&gt;=80),"○","")</f>
        <v>○</v>
      </c>
      <c r="H420" s="326" t="s">
        <v>95</v>
      </c>
      <c r="I420" s="327"/>
      <c r="J420" s="327"/>
      <c r="K420" s="327"/>
      <c r="L420" s="328"/>
    </row>
    <row r="421" spans="1:12" ht="18" customHeight="1" x14ac:dyDescent="0.3">
      <c r="A421" s="341"/>
      <c r="B421" s="342"/>
      <c r="C421" s="342"/>
      <c r="D421" s="342"/>
      <c r="E421" s="342"/>
      <c r="F421" s="343"/>
      <c r="G421" s="324"/>
      <c r="H421" s="329"/>
      <c r="I421" s="330"/>
      <c r="J421" s="330"/>
      <c r="K421" s="330"/>
      <c r="L421" s="331"/>
    </row>
    <row r="422" spans="1:12" ht="18" customHeight="1" x14ac:dyDescent="0.3">
      <c r="A422" s="341"/>
      <c r="B422" s="342"/>
      <c r="C422" s="342"/>
      <c r="D422" s="342"/>
      <c r="E422" s="342"/>
      <c r="F422" s="343"/>
      <c r="G422" s="325"/>
      <c r="H422" s="332"/>
      <c r="I422" s="333"/>
      <c r="J422" s="333"/>
      <c r="K422" s="333"/>
      <c r="L422" s="334"/>
    </row>
    <row r="423" spans="1:12" ht="18" customHeight="1" x14ac:dyDescent="0.3">
      <c r="A423" s="341"/>
      <c r="B423" s="342"/>
      <c r="C423" s="342"/>
      <c r="D423" s="342"/>
      <c r="E423" s="342"/>
      <c r="F423" s="343"/>
      <c r="G423" s="323" t="str">
        <f>IF(AND($J435&lt;=79.9,$J435&gt;=70),"○","")</f>
        <v/>
      </c>
      <c r="H423" s="326" t="s">
        <v>96</v>
      </c>
      <c r="I423" s="327"/>
      <c r="J423" s="327"/>
      <c r="K423" s="327"/>
      <c r="L423" s="328"/>
    </row>
    <row r="424" spans="1:12" ht="18" customHeight="1" x14ac:dyDescent="0.3">
      <c r="A424" s="341"/>
      <c r="B424" s="342"/>
      <c r="C424" s="342"/>
      <c r="D424" s="342"/>
      <c r="E424" s="342"/>
      <c r="F424" s="343"/>
      <c r="G424" s="324"/>
      <c r="H424" s="329"/>
      <c r="I424" s="330"/>
      <c r="J424" s="330"/>
      <c r="K424" s="330"/>
      <c r="L424" s="331"/>
    </row>
    <row r="425" spans="1:12" ht="18" customHeight="1" x14ac:dyDescent="0.3">
      <c r="A425" s="344" t="str">
        <f>"- "&amp;'전체 훈련생 평가 채점표'!$G$8</f>
        <v>- 0</v>
      </c>
      <c r="B425" s="345"/>
      <c r="C425" s="345"/>
      <c r="D425" s="345"/>
      <c r="E425" s="345"/>
      <c r="F425" s="346"/>
      <c r="G425" s="325"/>
      <c r="H425" s="332"/>
      <c r="I425" s="333"/>
      <c r="J425" s="333"/>
      <c r="K425" s="333"/>
      <c r="L425" s="334"/>
    </row>
    <row r="426" spans="1:12" ht="18" customHeight="1" x14ac:dyDescent="0.3">
      <c r="A426" s="344" t="str">
        <f>"- "&amp;'전체 훈련생 평가 채점표'!$F$8</f>
        <v>- 포트폴리오</v>
      </c>
      <c r="B426" s="345"/>
      <c r="C426" s="345"/>
      <c r="D426" s="345"/>
      <c r="E426" s="345"/>
      <c r="F426" s="346"/>
      <c r="G426" s="323" t="str">
        <f>IF(AND($J435&lt;=69.9,$J435&gt;=60),"○","")</f>
        <v/>
      </c>
      <c r="H426" s="326" t="s">
        <v>97</v>
      </c>
      <c r="I426" s="327"/>
      <c r="J426" s="327"/>
      <c r="K426" s="327"/>
      <c r="L426" s="328"/>
    </row>
    <row r="427" spans="1:12" ht="18" customHeight="1" x14ac:dyDescent="0.3">
      <c r="A427" s="347"/>
      <c r="B427" s="348"/>
      <c r="C427" s="348"/>
      <c r="D427" s="348"/>
      <c r="E427" s="348"/>
      <c r="F427" s="349"/>
      <c r="G427" s="324"/>
      <c r="H427" s="329"/>
      <c r="I427" s="330"/>
      <c r="J427" s="330"/>
      <c r="K427" s="330"/>
      <c r="L427" s="331"/>
    </row>
    <row r="428" spans="1:12" ht="18" customHeight="1" x14ac:dyDescent="0.3">
      <c r="A428" s="347"/>
      <c r="B428" s="348"/>
      <c r="C428" s="348"/>
      <c r="D428" s="348"/>
      <c r="E428" s="348"/>
      <c r="F428" s="349"/>
      <c r="G428" s="325"/>
      <c r="H428" s="332"/>
      <c r="I428" s="333"/>
      <c r="J428" s="333"/>
      <c r="K428" s="333"/>
      <c r="L428" s="334"/>
    </row>
    <row r="429" spans="1:12" ht="18" customHeight="1" x14ac:dyDescent="0.3">
      <c r="A429" s="347"/>
      <c r="B429" s="348"/>
      <c r="C429" s="348"/>
      <c r="D429" s="348"/>
      <c r="E429" s="348"/>
      <c r="F429" s="349"/>
      <c r="G429" s="323" t="str">
        <f>IF($J435&lt;=59.9,"○","")</f>
        <v/>
      </c>
      <c r="H429" s="326" t="s">
        <v>98</v>
      </c>
      <c r="I429" s="327"/>
      <c r="J429" s="327"/>
      <c r="K429" s="327"/>
      <c r="L429" s="328"/>
    </row>
    <row r="430" spans="1:12" ht="18" customHeight="1" x14ac:dyDescent="0.3">
      <c r="A430" s="347"/>
      <c r="B430" s="348"/>
      <c r="C430" s="348"/>
      <c r="D430" s="348"/>
      <c r="E430" s="348"/>
      <c r="F430" s="349"/>
      <c r="G430" s="324"/>
      <c r="H430" s="329"/>
      <c r="I430" s="330"/>
      <c r="J430" s="330"/>
      <c r="K430" s="330"/>
      <c r="L430" s="331"/>
    </row>
    <row r="431" spans="1:12" ht="18" customHeight="1" x14ac:dyDescent="0.3">
      <c r="A431" s="347"/>
      <c r="B431" s="348"/>
      <c r="C431" s="348"/>
      <c r="D431" s="348"/>
      <c r="E431" s="348"/>
      <c r="F431" s="349"/>
      <c r="G431" s="325"/>
      <c r="H431" s="332"/>
      <c r="I431" s="333"/>
      <c r="J431" s="333"/>
      <c r="K431" s="333"/>
      <c r="L431" s="334"/>
    </row>
    <row r="432" spans="1:12" ht="18" customHeight="1" x14ac:dyDescent="0.3">
      <c r="A432" s="347"/>
      <c r="B432" s="348"/>
      <c r="C432" s="348"/>
      <c r="D432" s="348"/>
      <c r="E432" s="348"/>
      <c r="F432" s="349"/>
      <c r="G432" s="335" t="s">
        <v>99</v>
      </c>
      <c r="H432" s="336"/>
      <c r="I432" s="336"/>
      <c r="J432" s="336"/>
      <c r="K432" s="336"/>
      <c r="L432" s="337"/>
    </row>
    <row r="433" spans="1:12" ht="18" customHeight="1" x14ac:dyDescent="0.3">
      <c r="A433" s="350"/>
      <c r="B433" s="351"/>
      <c r="C433" s="351"/>
      <c r="D433" s="351"/>
      <c r="E433" s="351"/>
      <c r="F433" s="352"/>
      <c r="G433" s="338"/>
      <c r="H433" s="339"/>
      <c r="I433" s="339"/>
      <c r="J433" s="339"/>
      <c r="K433" s="339"/>
      <c r="L433" s="340"/>
    </row>
    <row r="434" spans="1:12" ht="18" customHeight="1" x14ac:dyDescent="0.3">
      <c r="A434" s="353">
        <f>A390</f>
        <v>0</v>
      </c>
      <c r="B434" s="354"/>
      <c r="C434" s="355"/>
      <c r="D434" s="356"/>
      <c r="E434" s="357"/>
      <c r="F434" s="357"/>
      <c r="G434" s="357"/>
      <c r="H434" s="357"/>
      <c r="I434" s="358"/>
      <c r="J434" s="359" t="s">
        <v>125</v>
      </c>
      <c r="K434" s="360"/>
      <c r="L434" s="361"/>
    </row>
    <row r="435" spans="1:12" ht="18" customHeight="1" x14ac:dyDescent="0.3">
      <c r="A435" s="362" t="str">
        <f>A391</f>
        <v>포트폴리오</v>
      </c>
      <c r="B435" s="363"/>
      <c r="C435" s="364"/>
      <c r="D435" s="365">
        <f>'전체 훈련생 평가 채점표'!F18</f>
        <v>82.857142857142861</v>
      </c>
      <c r="E435" s="366"/>
      <c r="F435" s="366"/>
      <c r="G435" s="366"/>
      <c r="H435" s="366"/>
      <c r="I435" s="367"/>
      <c r="J435" s="368">
        <f>IFERROR((D434+D435+D436),0)</f>
        <v>82.857142857142861</v>
      </c>
      <c r="K435" s="369"/>
      <c r="L435" s="370"/>
    </row>
    <row r="436" spans="1:12" ht="18" customHeight="1" x14ac:dyDescent="0.3">
      <c r="A436" s="374">
        <f>A392</f>
        <v>0</v>
      </c>
      <c r="B436" s="375"/>
      <c r="C436" s="376"/>
      <c r="D436" s="377">
        <f>'전체 훈련생 평가 채점표'!G18</f>
        <v>0</v>
      </c>
      <c r="E436" s="378"/>
      <c r="F436" s="378"/>
      <c r="G436" s="378"/>
      <c r="H436" s="378"/>
      <c r="I436" s="379"/>
      <c r="J436" s="371"/>
      <c r="K436" s="372"/>
      <c r="L436" s="373"/>
    </row>
    <row r="437" spans="1:12" ht="18" customHeight="1" x14ac:dyDescent="0.3">
      <c r="A437" s="303" t="s">
        <v>11</v>
      </c>
      <c r="B437" s="304"/>
      <c r="C437" s="304"/>
      <c r="D437" s="304"/>
      <c r="E437" s="304"/>
      <c r="F437" s="304"/>
      <c r="G437" s="304"/>
      <c r="H437" s="304"/>
      <c r="I437" s="304"/>
      <c r="J437" s="304"/>
      <c r="K437" s="304"/>
      <c r="L437" s="305"/>
    </row>
    <row r="438" spans="1:12" ht="18" customHeight="1" x14ac:dyDescent="0.3">
      <c r="A438" s="306" t="s">
        <v>100</v>
      </c>
      <c r="B438" s="307"/>
      <c r="C438" s="307"/>
      <c r="D438" s="307"/>
      <c r="E438" s="307"/>
      <c r="F438" s="307"/>
      <c r="G438" s="307"/>
      <c r="H438" s="307"/>
      <c r="I438" s="307"/>
      <c r="J438" s="307"/>
      <c r="K438" s="307"/>
      <c r="L438" s="308"/>
    </row>
    <row r="439" spans="1:12" ht="18" customHeight="1" x14ac:dyDescent="0.3">
      <c r="A439" s="309" t="s">
        <v>92</v>
      </c>
      <c r="B439" s="309"/>
      <c r="C439" s="309"/>
      <c r="D439" s="310" t="s">
        <v>101</v>
      </c>
      <c r="E439" s="311"/>
      <c r="F439" s="310" t="s">
        <v>102</v>
      </c>
      <c r="G439" s="312"/>
      <c r="H439" s="311"/>
      <c r="I439" s="313">
        <f>$J435</f>
        <v>82.857142857142861</v>
      </c>
      <c r="J439" s="313"/>
      <c r="K439" s="315" t="s">
        <v>103</v>
      </c>
      <c r="L439" s="316"/>
    </row>
    <row r="440" spans="1:12" ht="18" customHeight="1" x14ac:dyDescent="0.3">
      <c r="A440" s="319" t="s">
        <v>104</v>
      </c>
      <c r="B440" s="319"/>
      <c r="C440" s="319"/>
      <c r="D440" s="320" t="s">
        <v>105</v>
      </c>
      <c r="E440" s="321"/>
      <c r="F440" s="320" t="s">
        <v>106</v>
      </c>
      <c r="G440" s="322"/>
      <c r="H440" s="321"/>
      <c r="I440" s="314"/>
      <c r="J440" s="314"/>
      <c r="K440" s="317"/>
      <c r="L440" s="318"/>
    </row>
    <row r="441" spans="1:12" ht="21.95" customHeight="1" x14ac:dyDescent="0.3">
      <c r="A441" s="453" t="str">
        <f>MID(VLOOKUP('전체 훈련생 평가 채점표'!$L$2,'기초데이타(작성필히)'!$A$5:$P$19,9),18,50)&amp;" 수행평가"</f>
        <v xml:space="preserve">  스마트문화앱UX설계 수행평가</v>
      </c>
      <c r="B441" s="453"/>
      <c r="C441" s="453"/>
      <c r="D441" s="453"/>
      <c r="E441" s="453"/>
      <c r="F441" s="453"/>
      <c r="G441" s="453"/>
      <c r="H441" s="453"/>
      <c r="I441" s="453"/>
      <c r="J441" s="453"/>
      <c r="K441" s="453"/>
      <c r="L441" s="453"/>
    </row>
    <row r="442" spans="1:12" ht="18" customHeight="1" x14ac:dyDescent="0.3">
      <c r="A442" s="309" t="s">
        <v>16</v>
      </c>
      <c r="B442" s="454">
        <f>VLOOKUP('전체 훈련생 평가 채점표'!$L$2,'기초데이타(작성필히)'!$A$5:$P$19,3)</f>
        <v>2021</v>
      </c>
      <c r="C442" s="454" t="s">
        <v>17</v>
      </c>
      <c r="D442" s="455" t="str">
        <f>VLOOKUP('전체 훈련생 평가 채점표'!$L$2,'기초데이타(작성필히)'!$A$5:$P$19,4)</f>
        <v>[디지털디자인]반응형 웹디자인(UIUX) &amp; 웹퍼블리셔 디지털 실무 양성과정 A-5</v>
      </c>
      <c r="E442" s="455"/>
      <c r="F442" s="455"/>
      <c r="G442" s="454" t="s">
        <v>18</v>
      </c>
      <c r="H442" s="359" t="str">
        <f>VLOOKUP('전체 훈련생 평가 채점표'!$L$2,'기초데이타(작성필히)'!$A$5:$P$19,5)</f>
        <v>21.08.31 ~ 22.02.07</v>
      </c>
      <c r="I442" s="360"/>
      <c r="J442" s="361"/>
      <c r="K442" s="460" t="s">
        <v>78</v>
      </c>
      <c r="L442" s="309" t="str">
        <f>VLOOKUP('전체 훈련생 평가 채점표'!$L$2,'기초데이타(작성필히)'!$A$5:$P$19,6)</f>
        <v>760H</v>
      </c>
    </row>
    <row r="443" spans="1:12" ht="18" customHeight="1" x14ac:dyDescent="0.3">
      <c r="A443" s="412"/>
      <c r="B443" s="413"/>
      <c r="C443" s="413"/>
      <c r="D443" s="456"/>
      <c r="E443" s="456"/>
      <c r="F443" s="456"/>
      <c r="G443" s="413"/>
      <c r="H443" s="457"/>
      <c r="I443" s="458"/>
      <c r="J443" s="459"/>
      <c r="K443" s="461"/>
      <c r="L443" s="412"/>
    </row>
    <row r="444" spans="1:12" ht="18" customHeight="1" x14ac:dyDescent="0.3">
      <c r="A444" s="412" t="s">
        <v>23</v>
      </c>
      <c r="B444" s="412"/>
      <c r="C444" s="412" t="str">
        <f>LEFT(VLOOKUP('전체 훈련생 평가 채점표'!$L$2,'기초데이타(작성필히)'!$A$5:$P$19,9),17)</f>
        <v>[0803020911_18v3]</v>
      </c>
      <c r="D444" s="412"/>
      <c r="E444" s="412"/>
      <c r="F444" s="412"/>
      <c r="G444" s="413" t="s">
        <v>24</v>
      </c>
      <c r="H444" s="412" t="str">
        <f>VLOOKUP('전체 훈련생 평가 채점표'!$L$2,'기초데이타(작성필히)'!$A$5:$P$19,12)</f>
        <v>이창훈</v>
      </c>
      <c r="I444" s="412"/>
      <c r="J444" s="412"/>
      <c r="K444" s="414"/>
      <c r="L444" s="415" t="s">
        <v>25</v>
      </c>
    </row>
    <row r="445" spans="1:12" ht="18" customHeight="1" x14ac:dyDescent="0.3">
      <c r="A445" s="412"/>
      <c r="B445" s="412"/>
      <c r="C445" s="412" t="str">
        <f>MID(VLOOKUP('전체 훈련생 평가 채점표'!$L$2,'기초데이타(작성필히)'!$A$5:$P$19,9),18,50)</f>
        <v xml:space="preserve">  스마트문화앱UX설계</v>
      </c>
      <c r="D445" s="412"/>
      <c r="E445" s="412"/>
      <c r="F445" s="412"/>
      <c r="G445" s="413"/>
      <c r="H445" s="412"/>
      <c r="I445" s="412"/>
      <c r="J445" s="412"/>
      <c r="K445" s="414"/>
      <c r="L445" s="416"/>
    </row>
    <row r="446" spans="1:12" ht="18" customHeight="1" x14ac:dyDescent="0.3">
      <c r="A446" s="412" t="s">
        <v>79</v>
      </c>
      <c r="B446" s="412"/>
      <c r="C446" s="413" t="str">
        <f>'전체 훈련생 평가 채점표'!B19</f>
        <v>윤혜경</v>
      </c>
      <c r="D446" s="413" t="s">
        <v>21</v>
      </c>
      <c r="E446" s="418" t="str">
        <f>VLOOKUP('전체 훈련생 평가 채점표'!$L$2,'기초데이타(작성필히)'!$A$5:$P$19,10)</f>
        <v>21.11.11~21.11.24</v>
      </c>
      <c r="F446" s="419"/>
      <c r="G446" s="420"/>
      <c r="H446" s="60" t="s">
        <v>80</v>
      </c>
      <c r="I446" s="61" t="s">
        <v>22</v>
      </c>
      <c r="J446" s="424" t="s">
        <v>81</v>
      </c>
      <c r="K446" s="425"/>
      <c r="L446" s="426"/>
    </row>
    <row r="447" spans="1:12" ht="18" customHeight="1" x14ac:dyDescent="0.3">
      <c r="A447" s="319"/>
      <c r="B447" s="319"/>
      <c r="C447" s="417"/>
      <c r="D447" s="417"/>
      <c r="E447" s="421"/>
      <c r="F447" s="422"/>
      <c r="G447" s="423"/>
      <c r="H447" s="62" t="s">
        <v>113</v>
      </c>
      <c r="I447" s="62">
        <f>VLOOKUP('전체 훈련생 평가 채점표'!$L$2,'기초데이타(작성필히)'!$A$5:$P$19,11)</f>
        <v>70</v>
      </c>
      <c r="J447" s="314" t="s">
        <v>113</v>
      </c>
      <c r="K447" s="314"/>
      <c r="L447" s="427"/>
    </row>
    <row r="448" spans="1:12" ht="18" customHeight="1" x14ac:dyDescent="0.3"/>
    <row r="449" spans="1:12" ht="18" customHeight="1" x14ac:dyDescent="0.3">
      <c r="A449" s="428" t="s">
        <v>82</v>
      </c>
      <c r="B449" s="429"/>
      <c r="C449" s="429"/>
      <c r="D449" s="431" t="s">
        <v>83</v>
      </c>
      <c r="E449" s="431"/>
      <c r="F449" s="431"/>
      <c r="G449" s="433" t="s">
        <v>84</v>
      </c>
      <c r="H449" s="434"/>
      <c r="I449" s="434"/>
      <c r="J449" s="434"/>
      <c r="K449" s="434"/>
      <c r="L449" s="435"/>
    </row>
    <row r="450" spans="1:12" ht="18" customHeight="1" x14ac:dyDescent="0.3">
      <c r="A450" s="430"/>
      <c r="B450" s="430"/>
      <c r="C450" s="430"/>
      <c r="D450" s="432"/>
      <c r="E450" s="432"/>
      <c r="F450" s="432"/>
      <c r="G450" s="436"/>
      <c r="H450" s="437"/>
      <c r="I450" s="437"/>
      <c r="J450" s="437"/>
      <c r="K450" s="437"/>
      <c r="L450" s="438"/>
    </row>
    <row r="451" spans="1:12" ht="18" customHeight="1" x14ac:dyDescent="0.3">
      <c r="A451" s="383" t="str">
        <f>$C446</f>
        <v>윤혜경</v>
      </c>
      <c r="B451" s="439"/>
      <c r="C451" s="439"/>
      <c r="D451" s="441" t="str">
        <f>$H444</f>
        <v>이창훈</v>
      </c>
      <c r="E451" s="443" t="s">
        <v>25</v>
      </c>
      <c r="F451" s="444"/>
      <c r="G451" s="382" t="s">
        <v>85</v>
      </c>
      <c r="H451" s="447">
        <f>VLOOKUP('전체 훈련생 평가 채점표'!$L$2,'기초데이타(작성필히)'!$A$5:$P$19,13)</f>
        <v>44524</v>
      </c>
      <c r="I451" s="448"/>
      <c r="J451" s="448"/>
      <c r="K451" s="449"/>
      <c r="L451" s="391" t="s">
        <v>86</v>
      </c>
    </row>
    <row r="452" spans="1:12" ht="18" customHeight="1" x14ac:dyDescent="0.3">
      <c r="A452" s="440"/>
      <c r="B452" s="440"/>
      <c r="C452" s="440"/>
      <c r="D452" s="442"/>
      <c r="E452" s="445"/>
      <c r="F452" s="446"/>
      <c r="G452" s="384"/>
      <c r="H452" s="450"/>
      <c r="I452" s="451"/>
      <c r="J452" s="451"/>
      <c r="K452" s="452"/>
      <c r="L452" s="392"/>
    </row>
    <row r="453" spans="1:12" ht="18" customHeight="1" x14ac:dyDescent="0.3">
      <c r="A453" s="380" t="s">
        <v>87</v>
      </c>
      <c r="B453" s="380"/>
      <c r="C453" s="380"/>
      <c r="D453" s="382" t="str">
        <f>$C444</f>
        <v>[0803020911_18v3]</v>
      </c>
      <c r="E453" s="382"/>
      <c r="F453" s="382"/>
      <c r="G453" s="382" t="s">
        <v>88</v>
      </c>
      <c r="H453" s="385"/>
      <c r="I453" s="386"/>
      <c r="J453" s="386"/>
      <c r="K453" s="387"/>
      <c r="L453" s="391" t="s">
        <v>86</v>
      </c>
    </row>
    <row r="454" spans="1:12" ht="18" customHeight="1" x14ac:dyDescent="0.3">
      <c r="A454" s="381"/>
      <c r="B454" s="381"/>
      <c r="C454" s="381"/>
      <c r="D454" s="383"/>
      <c r="E454" s="383"/>
      <c r="F454" s="383"/>
      <c r="G454" s="384"/>
      <c r="H454" s="388"/>
      <c r="I454" s="389"/>
      <c r="J454" s="389"/>
      <c r="K454" s="390"/>
      <c r="L454" s="392"/>
    </row>
    <row r="455" spans="1:12" ht="18" customHeight="1" x14ac:dyDescent="0.3">
      <c r="A455" s="393" t="str">
        <f>VLOOKUP('전체 훈련생 평가 채점표'!$L$2,'기초데이타(작성필히)'!$A$5:$P$19,7)</f>
        <v>스타일가이드제작 및 시안디자인 제작2</v>
      </c>
      <c r="B455" s="393"/>
      <c r="C455" s="393"/>
      <c r="D455" s="383" t="str">
        <f>$C445</f>
        <v xml:space="preserve">  스마트문화앱UX설계</v>
      </c>
      <c r="E455" s="383"/>
      <c r="F455" s="383"/>
      <c r="G455" s="382" t="s">
        <v>89</v>
      </c>
      <c r="H455" s="385"/>
      <c r="I455" s="386"/>
      <c r="J455" s="386"/>
      <c r="K455" s="387"/>
      <c r="L455" s="391" t="s">
        <v>86</v>
      </c>
    </row>
    <row r="456" spans="1:12" ht="18" customHeight="1" x14ac:dyDescent="0.3">
      <c r="A456" s="394"/>
      <c r="B456" s="394"/>
      <c r="C456" s="394"/>
      <c r="D456" s="384"/>
      <c r="E456" s="384"/>
      <c r="F456" s="384"/>
      <c r="G456" s="384"/>
      <c r="H456" s="388"/>
      <c r="I456" s="389"/>
      <c r="J456" s="389"/>
      <c r="K456" s="390"/>
      <c r="L456" s="392"/>
    </row>
    <row r="457" spans="1:12" ht="18" customHeight="1" x14ac:dyDescent="0.3">
      <c r="A457" s="395" t="s">
        <v>90</v>
      </c>
      <c r="B457" s="396"/>
      <c r="C457" s="396"/>
      <c r="D457" s="396"/>
      <c r="E457" s="396"/>
      <c r="F457" s="397"/>
      <c r="G457" s="398" t="s">
        <v>91</v>
      </c>
      <c r="H457" s="399"/>
      <c r="I457" s="399"/>
      <c r="J457" s="399"/>
      <c r="K457" s="399"/>
      <c r="L457" s="400"/>
    </row>
    <row r="458" spans="1:12" ht="18" customHeight="1" x14ac:dyDescent="0.3">
      <c r="A458" s="395"/>
      <c r="B458" s="396"/>
      <c r="C458" s="396"/>
      <c r="D458" s="396"/>
      <c r="E458" s="396"/>
      <c r="F458" s="397"/>
      <c r="G458" s="401"/>
      <c r="H458" s="402"/>
      <c r="I458" s="402"/>
      <c r="J458" s="402"/>
      <c r="K458" s="402"/>
      <c r="L458" s="403"/>
    </row>
    <row r="459" spans="1:12" ht="18" customHeight="1" x14ac:dyDescent="0.3">
      <c r="A459" s="341" t="s">
        <v>126</v>
      </c>
      <c r="B459" s="342"/>
      <c r="C459" s="342"/>
      <c r="D459" s="342"/>
      <c r="E459" s="342"/>
      <c r="F459" s="343"/>
      <c r="G459" s="404" t="s">
        <v>92</v>
      </c>
      <c r="H459" s="406" t="s">
        <v>93</v>
      </c>
      <c r="I459" s="407"/>
      <c r="J459" s="407"/>
      <c r="K459" s="407"/>
      <c r="L459" s="408"/>
    </row>
    <row r="460" spans="1:12" ht="18" customHeight="1" x14ac:dyDescent="0.3">
      <c r="A460" s="341"/>
      <c r="B460" s="342"/>
      <c r="C460" s="342"/>
      <c r="D460" s="342"/>
      <c r="E460" s="342"/>
      <c r="F460" s="343"/>
      <c r="G460" s="405"/>
      <c r="H460" s="409"/>
      <c r="I460" s="410"/>
      <c r="J460" s="410"/>
      <c r="K460" s="410"/>
      <c r="L460" s="411"/>
    </row>
    <row r="461" spans="1:12" ht="18" customHeight="1" x14ac:dyDescent="0.3">
      <c r="A461" s="341"/>
      <c r="B461" s="342"/>
      <c r="C461" s="342"/>
      <c r="D461" s="342"/>
      <c r="E461" s="342"/>
      <c r="F461" s="343"/>
      <c r="G461" s="323" t="str">
        <f>IF($J479&gt;=90,"○","")</f>
        <v/>
      </c>
      <c r="H461" s="326" t="s">
        <v>94</v>
      </c>
      <c r="I461" s="327"/>
      <c r="J461" s="327"/>
      <c r="K461" s="327"/>
      <c r="L461" s="328"/>
    </row>
    <row r="462" spans="1:12" ht="18" customHeight="1" x14ac:dyDescent="0.3">
      <c r="A462" s="341"/>
      <c r="B462" s="342"/>
      <c r="C462" s="342"/>
      <c r="D462" s="342"/>
      <c r="E462" s="342"/>
      <c r="F462" s="343"/>
      <c r="G462" s="324"/>
      <c r="H462" s="329"/>
      <c r="I462" s="330"/>
      <c r="J462" s="330"/>
      <c r="K462" s="330"/>
      <c r="L462" s="331"/>
    </row>
    <row r="463" spans="1:12" ht="18" customHeight="1" x14ac:dyDescent="0.3">
      <c r="A463" s="341"/>
      <c r="B463" s="342"/>
      <c r="C463" s="342"/>
      <c r="D463" s="342"/>
      <c r="E463" s="342"/>
      <c r="F463" s="343"/>
      <c r="G463" s="325"/>
      <c r="H463" s="332"/>
      <c r="I463" s="333"/>
      <c r="J463" s="333"/>
      <c r="K463" s="333"/>
      <c r="L463" s="334"/>
    </row>
    <row r="464" spans="1:12" ht="18" customHeight="1" x14ac:dyDescent="0.3">
      <c r="A464" s="341"/>
      <c r="B464" s="342"/>
      <c r="C464" s="342"/>
      <c r="D464" s="342"/>
      <c r="E464" s="342"/>
      <c r="F464" s="343"/>
      <c r="G464" s="323" t="str">
        <f>IF(AND($J479&lt;=89.9,$J479&gt;=80),"○","")</f>
        <v>○</v>
      </c>
      <c r="H464" s="326" t="s">
        <v>95</v>
      </c>
      <c r="I464" s="327"/>
      <c r="J464" s="327"/>
      <c r="K464" s="327"/>
      <c r="L464" s="328"/>
    </row>
    <row r="465" spans="1:12" ht="18" customHeight="1" x14ac:dyDescent="0.3">
      <c r="A465" s="341"/>
      <c r="B465" s="342"/>
      <c r="C465" s="342"/>
      <c r="D465" s="342"/>
      <c r="E465" s="342"/>
      <c r="F465" s="343"/>
      <c r="G465" s="324"/>
      <c r="H465" s="329"/>
      <c r="I465" s="330"/>
      <c r="J465" s="330"/>
      <c r="K465" s="330"/>
      <c r="L465" s="331"/>
    </row>
    <row r="466" spans="1:12" ht="18" customHeight="1" x14ac:dyDescent="0.3">
      <c r="A466" s="341"/>
      <c r="B466" s="342"/>
      <c r="C466" s="342"/>
      <c r="D466" s="342"/>
      <c r="E466" s="342"/>
      <c r="F466" s="343"/>
      <c r="G466" s="325"/>
      <c r="H466" s="332"/>
      <c r="I466" s="333"/>
      <c r="J466" s="333"/>
      <c r="K466" s="333"/>
      <c r="L466" s="334"/>
    </row>
    <row r="467" spans="1:12" ht="18" customHeight="1" x14ac:dyDescent="0.3">
      <c r="A467" s="341"/>
      <c r="B467" s="342"/>
      <c r="C467" s="342"/>
      <c r="D467" s="342"/>
      <c r="E467" s="342"/>
      <c r="F467" s="343"/>
      <c r="G467" s="323" t="str">
        <f>IF(AND($J479&lt;=79.9,$J479&gt;=70),"○","")</f>
        <v/>
      </c>
      <c r="H467" s="326" t="s">
        <v>96</v>
      </c>
      <c r="I467" s="327"/>
      <c r="J467" s="327"/>
      <c r="K467" s="327"/>
      <c r="L467" s="328"/>
    </row>
    <row r="468" spans="1:12" ht="18" customHeight="1" x14ac:dyDescent="0.3">
      <c r="A468" s="341"/>
      <c r="B468" s="342"/>
      <c r="C468" s="342"/>
      <c r="D468" s="342"/>
      <c r="E468" s="342"/>
      <c r="F468" s="343"/>
      <c r="G468" s="324"/>
      <c r="H468" s="329"/>
      <c r="I468" s="330"/>
      <c r="J468" s="330"/>
      <c r="K468" s="330"/>
      <c r="L468" s="331"/>
    </row>
    <row r="469" spans="1:12" ht="18" customHeight="1" x14ac:dyDescent="0.3">
      <c r="A469" s="344" t="str">
        <f>"- "&amp;'전체 훈련생 평가 채점표'!$G$8</f>
        <v>- 0</v>
      </c>
      <c r="B469" s="345"/>
      <c r="C469" s="345"/>
      <c r="D469" s="345"/>
      <c r="E469" s="345"/>
      <c r="F469" s="346"/>
      <c r="G469" s="325"/>
      <c r="H469" s="332"/>
      <c r="I469" s="333"/>
      <c r="J469" s="333"/>
      <c r="K469" s="333"/>
      <c r="L469" s="334"/>
    </row>
    <row r="470" spans="1:12" ht="18" customHeight="1" x14ac:dyDescent="0.3">
      <c r="A470" s="344" t="str">
        <f>"- "&amp;'전체 훈련생 평가 채점표'!$F$8</f>
        <v>- 포트폴리오</v>
      </c>
      <c r="B470" s="345"/>
      <c r="C470" s="345"/>
      <c r="D470" s="345"/>
      <c r="E470" s="345"/>
      <c r="F470" s="346"/>
      <c r="G470" s="323" t="str">
        <f>IF(AND($J479&lt;=69.9,$J479&gt;=60),"○","")</f>
        <v/>
      </c>
      <c r="H470" s="326" t="s">
        <v>97</v>
      </c>
      <c r="I470" s="327"/>
      <c r="J470" s="327"/>
      <c r="K470" s="327"/>
      <c r="L470" s="328"/>
    </row>
    <row r="471" spans="1:12" ht="18" customHeight="1" x14ac:dyDescent="0.3">
      <c r="A471" s="347"/>
      <c r="B471" s="348"/>
      <c r="C471" s="348"/>
      <c r="D471" s="348"/>
      <c r="E471" s="348"/>
      <c r="F471" s="349"/>
      <c r="G471" s="324"/>
      <c r="H471" s="329"/>
      <c r="I471" s="330"/>
      <c r="J471" s="330"/>
      <c r="K471" s="330"/>
      <c r="L471" s="331"/>
    </row>
    <row r="472" spans="1:12" ht="18" customHeight="1" x14ac:dyDescent="0.3">
      <c r="A472" s="347"/>
      <c r="B472" s="348"/>
      <c r="C472" s="348"/>
      <c r="D472" s="348"/>
      <c r="E472" s="348"/>
      <c r="F472" s="349"/>
      <c r="G472" s="325"/>
      <c r="H472" s="332"/>
      <c r="I472" s="333"/>
      <c r="J472" s="333"/>
      <c r="K472" s="333"/>
      <c r="L472" s="334"/>
    </row>
    <row r="473" spans="1:12" ht="18" customHeight="1" x14ac:dyDescent="0.3">
      <c r="A473" s="347"/>
      <c r="B473" s="348"/>
      <c r="C473" s="348"/>
      <c r="D473" s="348"/>
      <c r="E473" s="348"/>
      <c r="F473" s="349"/>
      <c r="G473" s="323" t="str">
        <f>IF($J479&lt;=59.9,"○","")</f>
        <v/>
      </c>
      <c r="H473" s="326" t="s">
        <v>98</v>
      </c>
      <c r="I473" s="327"/>
      <c r="J473" s="327"/>
      <c r="K473" s="327"/>
      <c r="L473" s="328"/>
    </row>
    <row r="474" spans="1:12" ht="18" customHeight="1" x14ac:dyDescent="0.3">
      <c r="A474" s="347"/>
      <c r="B474" s="348"/>
      <c r="C474" s="348"/>
      <c r="D474" s="348"/>
      <c r="E474" s="348"/>
      <c r="F474" s="349"/>
      <c r="G474" s="324"/>
      <c r="H474" s="329"/>
      <c r="I474" s="330"/>
      <c r="J474" s="330"/>
      <c r="K474" s="330"/>
      <c r="L474" s="331"/>
    </row>
    <row r="475" spans="1:12" ht="18" customHeight="1" x14ac:dyDescent="0.3">
      <c r="A475" s="347"/>
      <c r="B475" s="348"/>
      <c r="C475" s="348"/>
      <c r="D475" s="348"/>
      <c r="E475" s="348"/>
      <c r="F475" s="349"/>
      <c r="G475" s="325"/>
      <c r="H475" s="332"/>
      <c r="I475" s="333"/>
      <c r="J475" s="333"/>
      <c r="K475" s="333"/>
      <c r="L475" s="334"/>
    </row>
    <row r="476" spans="1:12" ht="18" customHeight="1" x14ac:dyDescent="0.3">
      <c r="A476" s="347"/>
      <c r="B476" s="348"/>
      <c r="C476" s="348"/>
      <c r="D476" s="348"/>
      <c r="E476" s="348"/>
      <c r="F476" s="349"/>
      <c r="G476" s="335" t="s">
        <v>99</v>
      </c>
      <c r="H476" s="336"/>
      <c r="I476" s="336"/>
      <c r="J476" s="336"/>
      <c r="K476" s="336"/>
      <c r="L476" s="337"/>
    </row>
    <row r="477" spans="1:12" ht="18" customHeight="1" x14ac:dyDescent="0.3">
      <c r="A477" s="350"/>
      <c r="B477" s="351"/>
      <c r="C477" s="351"/>
      <c r="D477" s="351"/>
      <c r="E477" s="351"/>
      <c r="F477" s="352"/>
      <c r="G477" s="338"/>
      <c r="H477" s="339"/>
      <c r="I477" s="339"/>
      <c r="J477" s="339"/>
      <c r="K477" s="339"/>
      <c r="L477" s="340"/>
    </row>
    <row r="478" spans="1:12" ht="18" customHeight="1" x14ac:dyDescent="0.3">
      <c r="A478" s="353">
        <f>A434</f>
        <v>0</v>
      </c>
      <c r="B478" s="354"/>
      <c r="C478" s="355"/>
      <c r="D478" s="356"/>
      <c r="E478" s="357"/>
      <c r="F478" s="357"/>
      <c r="G478" s="357"/>
      <c r="H478" s="357"/>
      <c r="I478" s="358"/>
      <c r="J478" s="359" t="s">
        <v>125</v>
      </c>
      <c r="K478" s="360"/>
      <c r="L478" s="361"/>
    </row>
    <row r="479" spans="1:12" ht="18" customHeight="1" x14ac:dyDescent="0.3">
      <c r="A479" s="362" t="str">
        <f>A435</f>
        <v>포트폴리오</v>
      </c>
      <c r="B479" s="363"/>
      <c r="C479" s="364"/>
      <c r="D479" s="365">
        <f>'전체 훈련생 평가 채점표'!F19</f>
        <v>82.857142857142861</v>
      </c>
      <c r="E479" s="366"/>
      <c r="F479" s="366"/>
      <c r="G479" s="366"/>
      <c r="H479" s="366"/>
      <c r="I479" s="367"/>
      <c r="J479" s="368">
        <f>IFERROR((D478+D479+D480),0)</f>
        <v>82.857142857142861</v>
      </c>
      <c r="K479" s="369"/>
      <c r="L479" s="370"/>
    </row>
    <row r="480" spans="1:12" ht="18" customHeight="1" x14ac:dyDescent="0.3">
      <c r="A480" s="374">
        <f>A436</f>
        <v>0</v>
      </c>
      <c r="B480" s="375"/>
      <c r="C480" s="376"/>
      <c r="D480" s="377">
        <f>'전체 훈련생 평가 채점표'!G19</f>
        <v>0</v>
      </c>
      <c r="E480" s="378"/>
      <c r="F480" s="378"/>
      <c r="G480" s="378"/>
      <c r="H480" s="378"/>
      <c r="I480" s="379"/>
      <c r="J480" s="371"/>
      <c r="K480" s="372"/>
      <c r="L480" s="373"/>
    </row>
    <row r="481" spans="1:12" ht="18" customHeight="1" x14ac:dyDescent="0.3">
      <c r="A481" s="303" t="s">
        <v>11</v>
      </c>
      <c r="B481" s="304"/>
      <c r="C481" s="304"/>
      <c r="D481" s="304"/>
      <c r="E481" s="304"/>
      <c r="F481" s="304"/>
      <c r="G481" s="304"/>
      <c r="H481" s="304"/>
      <c r="I481" s="304"/>
      <c r="J481" s="304"/>
      <c r="K481" s="304"/>
      <c r="L481" s="305"/>
    </row>
    <row r="482" spans="1:12" ht="18" customHeight="1" x14ac:dyDescent="0.3">
      <c r="A482" s="306" t="s">
        <v>100</v>
      </c>
      <c r="B482" s="307"/>
      <c r="C482" s="307"/>
      <c r="D482" s="307"/>
      <c r="E482" s="307"/>
      <c r="F482" s="307"/>
      <c r="G482" s="307"/>
      <c r="H482" s="307"/>
      <c r="I482" s="307"/>
      <c r="J482" s="307"/>
      <c r="K482" s="307"/>
      <c r="L482" s="308"/>
    </row>
    <row r="483" spans="1:12" ht="18" customHeight="1" x14ac:dyDescent="0.3">
      <c r="A483" s="309" t="s">
        <v>92</v>
      </c>
      <c r="B483" s="309"/>
      <c r="C483" s="309"/>
      <c r="D483" s="310" t="s">
        <v>101</v>
      </c>
      <c r="E483" s="311"/>
      <c r="F483" s="310" t="s">
        <v>102</v>
      </c>
      <c r="G483" s="312"/>
      <c r="H483" s="311"/>
      <c r="I483" s="313">
        <f>$J479</f>
        <v>82.857142857142861</v>
      </c>
      <c r="J483" s="313"/>
      <c r="K483" s="315" t="s">
        <v>103</v>
      </c>
      <c r="L483" s="316"/>
    </row>
    <row r="484" spans="1:12" ht="18" customHeight="1" x14ac:dyDescent="0.3">
      <c r="A484" s="319" t="s">
        <v>104</v>
      </c>
      <c r="B484" s="319"/>
      <c r="C484" s="319"/>
      <c r="D484" s="320" t="s">
        <v>105</v>
      </c>
      <c r="E484" s="321"/>
      <c r="F484" s="320" t="s">
        <v>106</v>
      </c>
      <c r="G484" s="322"/>
      <c r="H484" s="321"/>
      <c r="I484" s="314"/>
      <c r="J484" s="314"/>
      <c r="K484" s="317"/>
      <c r="L484" s="318"/>
    </row>
    <row r="485" spans="1:12" ht="21.95" customHeight="1" x14ac:dyDescent="0.3">
      <c r="A485" s="453" t="str">
        <f>MID(VLOOKUP('전체 훈련생 평가 채점표'!$L$2,'기초데이타(작성필히)'!$A$5:$P$19,9),18,50)&amp;" 수행평가"</f>
        <v xml:space="preserve">  스마트문화앱UX설계 수행평가</v>
      </c>
      <c r="B485" s="453"/>
      <c r="C485" s="453"/>
      <c r="D485" s="453"/>
      <c r="E485" s="453"/>
      <c r="F485" s="453"/>
      <c r="G485" s="453"/>
      <c r="H485" s="453"/>
      <c r="I485" s="453"/>
      <c r="J485" s="453"/>
      <c r="K485" s="453"/>
      <c r="L485" s="453"/>
    </row>
    <row r="486" spans="1:12" ht="18" customHeight="1" x14ac:dyDescent="0.3">
      <c r="A486" s="309" t="s">
        <v>16</v>
      </c>
      <c r="B486" s="454">
        <f>VLOOKUP('전체 훈련생 평가 채점표'!$L$2,'기초데이타(작성필히)'!$A$5:$P$19,3)</f>
        <v>2021</v>
      </c>
      <c r="C486" s="454" t="s">
        <v>17</v>
      </c>
      <c r="D486" s="455" t="str">
        <f>VLOOKUP('전체 훈련생 평가 채점표'!$L$2,'기초데이타(작성필히)'!$A$5:$P$19,4)</f>
        <v>[디지털디자인]반응형 웹디자인(UIUX) &amp; 웹퍼블리셔 디지털 실무 양성과정 A-5</v>
      </c>
      <c r="E486" s="455"/>
      <c r="F486" s="455"/>
      <c r="G486" s="454" t="s">
        <v>18</v>
      </c>
      <c r="H486" s="359" t="str">
        <f>VLOOKUP('전체 훈련생 평가 채점표'!$L$2,'기초데이타(작성필히)'!$A$5:$P$19,5)</f>
        <v>21.08.31 ~ 22.02.07</v>
      </c>
      <c r="I486" s="360"/>
      <c r="J486" s="361"/>
      <c r="K486" s="460" t="s">
        <v>78</v>
      </c>
      <c r="L486" s="309" t="str">
        <f>VLOOKUP('전체 훈련생 평가 채점표'!$L$2,'기초데이타(작성필히)'!$A$5:$P$19,6)</f>
        <v>760H</v>
      </c>
    </row>
    <row r="487" spans="1:12" ht="18" customHeight="1" x14ac:dyDescent="0.3">
      <c r="A487" s="412"/>
      <c r="B487" s="413"/>
      <c r="C487" s="413"/>
      <c r="D487" s="456"/>
      <c r="E487" s="456"/>
      <c r="F487" s="456"/>
      <c r="G487" s="413"/>
      <c r="H487" s="457"/>
      <c r="I487" s="458"/>
      <c r="J487" s="459"/>
      <c r="K487" s="461"/>
      <c r="L487" s="412"/>
    </row>
    <row r="488" spans="1:12" ht="18" customHeight="1" x14ac:dyDescent="0.3">
      <c r="A488" s="412" t="s">
        <v>23</v>
      </c>
      <c r="B488" s="412"/>
      <c r="C488" s="412" t="str">
        <f>LEFT(VLOOKUP('전체 훈련생 평가 채점표'!$L$2,'기초데이타(작성필히)'!$A$5:$P$19,9),17)</f>
        <v>[0803020911_18v3]</v>
      </c>
      <c r="D488" s="412"/>
      <c r="E488" s="412"/>
      <c r="F488" s="412"/>
      <c r="G488" s="413" t="s">
        <v>24</v>
      </c>
      <c r="H488" s="412" t="str">
        <f>VLOOKUP('전체 훈련생 평가 채점표'!$L$2,'기초데이타(작성필히)'!$A$5:$P$19,12)</f>
        <v>이창훈</v>
      </c>
      <c r="I488" s="412"/>
      <c r="J488" s="412"/>
      <c r="K488" s="414"/>
      <c r="L488" s="415" t="s">
        <v>25</v>
      </c>
    </row>
    <row r="489" spans="1:12" ht="18" customHeight="1" x14ac:dyDescent="0.3">
      <c r="A489" s="412"/>
      <c r="B489" s="412"/>
      <c r="C489" s="412" t="str">
        <f>MID(VLOOKUP('전체 훈련생 평가 채점표'!$L$2,'기초데이타(작성필히)'!$A$5:$P$19,9),18,50)</f>
        <v xml:space="preserve">  스마트문화앱UX설계</v>
      </c>
      <c r="D489" s="412"/>
      <c r="E489" s="412"/>
      <c r="F489" s="412"/>
      <c r="G489" s="413"/>
      <c r="H489" s="412"/>
      <c r="I489" s="412"/>
      <c r="J489" s="412"/>
      <c r="K489" s="414"/>
      <c r="L489" s="416"/>
    </row>
    <row r="490" spans="1:12" ht="18" customHeight="1" x14ac:dyDescent="0.3">
      <c r="A490" s="412" t="s">
        <v>79</v>
      </c>
      <c r="B490" s="412"/>
      <c r="C490" s="413" t="str">
        <f>'전체 훈련생 평가 채점표'!B20</f>
        <v>이규원</v>
      </c>
      <c r="D490" s="413" t="s">
        <v>21</v>
      </c>
      <c r="E490" s="418" t="str">
        <f>VLOOKUP('전체 훈련생 평가 채점표'!$L$2,'기초데이타(작성필히)'!$A$5:$P$19,10)</f>
        <v>21.11.11~21.11.24</v>
      </c>
      <c r="F490" s="419"/>
      <c r="G490" s="420"/>
      <c r="H490" s="60" t="s">
        <v>80</v>
      </c>
      <c r="I490" s="61" t="s">
        <v>22</v>
      </c>
      <c r="J490" s="424" t="s">
        <v>81</v>
      </c>
      <c r="K490" s="425"/>
      <c r="L490" s="426"/>
    </row>
    <row r="491" spans="1:12" ht="18" customHeight="1" x14ac:dyDescent="0.3">
      <c r="A491" s="319"/>
      <c r="B491" s="319"/>
      <c r="C491" s="417"/>
      <c r="D491" s="417"/>
      <c r="E491" s="421"/>
      <c r="F491" s="422"/>
      <c r="G491" s="423"/>
      <c r="H491" s="62" t="s">
        <v>113</v>
      </c>
      <c r="I491" s="62">
        <f>VLOOKUP('전체 훈련생 평가 채점표'!$L$2,'기초데이타(작성필히)'!$A$5:$P$19,11)</f>
        <v>70</v>
      </c>
      <c r="J491" s="314" t="s">
        <v>113</v>
      </c>
      <c r="K491" s="314"/>
      <c r="L491" s="427"/>
    </row>
    <row r="492" spans="1:12" ht="18" customHeight="1" x14ac:dyDescent="0.3"/>
    <row r="493" spans="1:12" ht="18" customHeight="1" x14ac:dyDescent="0.3">
      <c r="A493" s="428" t="s">
        <v>82</v>
      </c>
      <c r="B493" s="429"/>
      <c r="C493" s="429"/>
      <c r="D493" s="431" t="s">
        <v>83</v>
      </c>
      <c r="E493" s="431"/>
      <c r="F493" s="431"/>
      <c r="G493" s="433" t="s">
        <v>84</v>
      </c>
      <c r="H493" s="434"/>
      <c r="I493" s="434"/>
      <c r="J493" s="434"/>
      <c r="K493" s="434"/>
      <c r="L493" s="435"/>
    </row>
    <row r="494" spans="1:12" ht="18" customHeight="1" x14ac:dyDescent="0.3">
      <c r="A494" s="430"/>
      <c r="B494" s="430"/>
      <c r="C494" s="430"/>
      <c r="D494" s="432"/>
      <c r="E494" s="432"/>
      <c r="F494" s="432"/>
      <c r="G494" s="436"/>
      <c r="H494" s="437"/>
      <c r="I494" s="437"/>
      <c r="J494" s="437"/>
      <c r="K494" s="437"/>
      <c r="L494" s="438"/>
    </row>
    <row r="495" spans="1:12" ht="18" customHeight="1" x14ac:dyDescent="0.3">
      <c r="A495" s="383" t="str">
        <f>$C490</f>
        <v>이규원</v>
      </c>
      <c r="B495" s="439"/>
      <c r="C495" s="439"/>
      <c r="D495" s="441" t="str">
        <f>$H488</f>
        <v>이창훈</v>
      </c>
      <c r="E495" s="443" t="s">
        <v>25</v>
      </c>
      <c r="F495" s="444"/>
      <c r="G495" s="382" t="s">
        <v>85</v>
      </c>
      <c r="H495" s="447">
        <f>VLOOKUP('전체 훈련생 평가 채점표'!$L$2,'기초데이타(작성필히)'!$A$5:$P$19,13)</f>
        <v>44524</v>
      </c>
      <c r="I495" s="448"/>
      <c r="J495" s="448"/>
      <c r="K495" s="449"/>
      <c r="L495" s="391" t="s">
        <v>86</v>
      </c>
    </row>
    <row r="496" spans="1:12" ht="18" customHeight="1" x14ac:dyDescent="0.3">
      <c r="A496" s="440"/>
      <c r="B496" s="440"/>
      <c r="C496" s="440"/>
      <c r="D496" s="442"/>
      <c r="E496" s="445"/>
      <c r="F496" s="446"/>
      <c r="G496" s="384"/>
      <c r="H496" s="450"/>
      <c r="I496" s="451"/>
      <c r="J496" s="451"/>
      <c r="K496" s="452"/>
      <c r="L496" s="392"/>
    </row>
    <row r="497" spans="1:12" ht="18" customHeight="1" x14ac:dyDescent="0.3">
      <c r="A497" s="380" t="s">
        <v>87</v>
      </c>
      <c r="B497" s="380"/>
      <c r="C497" s="380"/>
      <c r="D497" s="382" t="str">
        <f>$C488</f>
        <v>[0803020911_18v3]</v>
      </c>
      <c r="E497" s="382"/>
      <c r="F497" s="382"/>
      <c r="G497" s="382" t="s">
        <v>88</v>
      </c>
      <c r="H497" s="385"/>
      <c r="I497" s="386"/>
      <c r="J497" s="386"/>
      <c r="K497" s="387"/>
      <c r="L497" s="391" t="s">
        <v>86</v>
      </c>
    </row>
    <row r="498" spans="1:12" ht="18" customHeight="1" x14ac:dyDescent="0.3">
      <c r="A498" s="381"/>
      <c r="B498" s="381"/>
      <c r="C498" s="381"/>
      <c r="D498" s="383"/>
      <c r="E498" s="383"/>
      <c r="F498" s="383"/>
      <c r="G498" s="384"/>
      <c r="H498" s="388"/>
      <c r="I498" s="389"/>
      <c r="J498" s="389"/>
      <c r="K498" s="390"/>
      <c r="L498" s="392"/>
    </row>
    <row r="499" spans="1:12" ht="18" customHeight="1" x14ac:dyDescent="0.3">
      <c r="A499" s="393" t="str">
        <f>VLOOKUP('전체 훈련생 평가 채점표'!$L$2,'기초데이타(작성필히)'!$A$5:$P$19,7)</f>
        <v>스타일가이드제작 및 시안디자인 제작2</v>
      </c>
      <c r="B499" s="393"/>
      <c r="C499" s="393"/>
      <c r="D499" s="383" t="str">
        <f>$C489</f>
        <v xml:space="preserve">  스마트문화앱UX설계</v>
      </c>
      <c r="E499" s="383"/>
      <c r="F499" s="383"/>
      <c r="G499" s="382" t="s">
        <v>89</v>
      </c>
      <c r="H499" s="385"/>
      <c r="I499" s="386"/>
      <c r="J499" s="386"/>
      <c r="K499" s="387"/>
      <c r="L499" s="391" t="s">
        <v>86</v>
      </c>
    </row>
    <row r="500" spans="1:12" ht="18" customHeight="1" x14ac:dyDescent="0.3">
      <c r="A500" s="394"/>
      <c r="B500" s="394"/>
      <c r="C500" s="394"/>
      <c r="D500" s="384"/>
      <c r="E500" s="384"/>
      <c r="F500" s="384"/>
      <c r="G500" s="384"/>
      <c r="H500" s="388"/>
      <c r="I500" s="389"/>
      <c r="J500" s="389"/>
      <c r="K500" s="390"/>
      <c r="L500" s="392"/>
    </row>
    <row r="501" spans="1:12" ht="18" customHeight="1" x14ac:dyDescent="0.3">
      <c r="A501" s="395" t="s">
        <v>90</v>
      </c>
      <c r="B501" s="396"/>
      <c r="C501" s="396"/>
      <c r="D501" s="396"/>
      <c r="E501" s="396"/>
      <c r="F501" s="397"/>
      <c r="G501" s="398" t="s">
        <v>91</v>
      </c>
      <c r="H501" s="399"/>
      <c r="I501" s="399"/>
      <c r="J501" s="399"/>
      <c r="K501" s="399"/>
      <c r="L501" s="400"/>
    </row>
    <row r="502" spans="1:12" ht="18" customHeight="1" x14ac:dyDescent="0.3">
      <c r="A502" s="395"/>
      <c r="B502" s="396"/>
      <c r="C502" s="396"/>
      <c r="D502" s="396"/>
      <c r="E502" s="396"/>
      <c r="F502" s="397"/>
      <c r="G502" s="401"/>
      <c r="H502" s="402"/>
      <c r="I502" s="402"/>
      <c r="J502" s="402"/>
      <c r="K502" s="402"/>
      <c r="L502" s="403"/>
    </row>
    <row r="503" spans="1:12" ht="18" customHeight="1" x14ac:dyDescent="0.3">
      <c r="A503" s="341" t="s">
        <v>126</v>
      </c>
      <c r="B503" s="342"/>
      <c r="C503" s="342"/>
      <c r="D503" s="342"/>
      <c r="E503" s="342"/>
      <c r="F503" s="343"/>
      <c r="G503" s="404" t="s">
        <v>92</v>
      </c>
      <c r="H503" s="406" t="s">
        <v>93</v>
      </c>
      <c r="I503" s="407"/>
      <c r="J503" s="407"/>
      <c r="K503" s="407"/>
      <c r="L503" s="408"/>
    </row>
    <row r="504" spans="1:12" ht="18" customHeight="1" x14ac:dyDescent="0.3">
      <c r="A504" s="341"/>
      <c r="B504" s="342"/>
      <c r="C504" s="342"/>
      <c r="D504" s="342"/>
      <c r="E504" s="342"/>
      <c r="F504" s="343"/>
      <c r="G504" s="405"/>
      <c r="H504" s="409"/>
      <c r="I504" s="410"/>
      <c r="J504" s="410"/>
      <c r="K504" s="410"/>
      <c r="L504" s="411"/>
    </row>
    <row r="505" spans="1:12" ht="18" customHeight="1" x14ac:dyDescent="0.3">
      <c r="A505" s="341"/>
      <c r="B505" s="342"/>
      <c r="C505" s="342"/>
      <c r="D505" s="342"/>
      <c r="E505" s="342"/>
      <c r="F505" s="343"/>
      <c r="G505" s="323" t="str">
        <f>IF($J523&gt;=90,"○","")</f>
        <v/>
      </c>
      <c r="H505" s="326" t="s">
        <v>94</v>
      </c>
      <c r="I505" s="327"/>
      <c r="J505" s="327"/>
      <c r="K505" s="327"/>
      <c r="L505" s="328"/>
    </row>
    <row r="506" spans="1:12" ht="18" customHeight="1" x14ac:dyDescent="0.3">
      <c r="A506" s="341"/>
      <c r="B506" s="342"/>
      <c r="C506" s="342"/>
      <c r="D506" s="342"/>
      <c r="E506" s="342"/>
      <c r="F506" s="343"/>
      <c r="G506" s="324"/>
      <c r="H506" s="329"/>
      <c r="I506" s="330"/>
      <c r="J506" s="330"/>
      <c r="K506" s="330"/>
      <c r="L506" s="331"/>
    </row>
    <row r="507" spans="1:12" ht="18" customHeight="1" x14ac:dyDescent="0.3">
      <c r="A507" s="341"/>
      <c r="B507" s="342"/>
      <c r="C507" s="342"/>
      <c r="D507" s="342"/>
      <c r="E507" s="342"/>
      <c r="F507" s="343"/>
      <c r="G507" s="325"/>
      <c r="H507" s="332"/>
      <c r="I507" s="333"/>
      <c r="J507" s="333"/>
      <c r="K507" s="333"/>
      <c r="L507" s="334"/>
    </row>
    <row r="508" spans="1:12" ht="18" customHeight="1" x14ac:dyDescent="0.3">
      <c r="A508" s="341"/>
      <c r="B508" s="342"/>
      <c r="C508" s="342"/>
      <c r="D508" s="342"/>
      <c r="E508" s="342"/>
      <c r="F508" s="343"/>
      <c r="G508" s="323" t="str">
        <f>IF(AND($J523&lt;=89.9,$J523&gt;=80),"○","")</f>
        <v/>
      </c>
      <c r="H508" s="326" t="s">
        <v>95</v>
      </c>
      <c r="I508" s="327"/>
      <c r="J508" s="327"/>
      <c r="K508" s="327"/>
      <c r="L508" s="328"/>
    </row>
    <row r="509" spans="1:12" ht="18" customHeight="1" x14ac:dyDescent="0.3">
      <c r="A509" s="341"/>
      <c r="B509" s="342"/>
      <c r="C509" s="342"/>
      <c r="D509" s="342"/>
      <c r="E509" s="342"/>
      <c r="F509" s="343"/>
      <c r="G509" s="324"/>
      <c r="H509" s="329"/>
      <c r="I509" s="330"/>
      <c r="J509" s="330"/>
      <c r="K509" s="330"/>
      <c r="L509" s="331"/>
    </row>
    <row r="510" spans="1:12" ht="18" customHeight="1" x14ac:dyDescent="0.3">
      <c r="A510" s="341"/>
      <c r="B510" s="342"/>
      <c r="C510" s="342"/>
      <c r="D510" s="342"/>
      <c r="E510" s="342"/>
      <c r="F510" s="343"/>
      <c r="G510" s="325"/>
      <c r="H510" s="332"/>
      <c r="I510" s="333"/>
      <c r="J510" s="333"/>
      <c r="K510" s="333"/>
      <c r="L510" s="334"/>
    </row>
    <row r="511" spans="1:12" ht="18" customHeight="1" x14ac:dyDescent="0.3">
      <c r="A511" s="341"/>
      <c r="B511" s="342"/>
      <c r="C511" s="342"/>
      <c r="D511" s="342"/>
      <c r="E511" s="342"/>
      <c r="F511" s="343"/>
      <c r="G511" s="323" t="str">
        <f>IF(AND($J523&lt;=79.9,$J523&gt;=70),"○","")</f>
        <v>○</v>
      </c>
      <c r="H511" s="326" t="s">
        <v>96</v>
      </c>
      <c r="I511" s="327"/>
      <c r="J511" s="327"/>
      <c r="K511" s="327"/>
      <c r="L511" s="328"/>
    </row>
    <row r="512" spans="1:12" ht="18" customHeight="1" x14ac:dyDescent="0.3">
      <c r="A512" s="341"/>
      <c r="B512" s="342"/>
      <c r="C512" s="342"/>
      <c r="D512" s="342"/>
      <c r="E512" s="342"/>
      <c r="F512" s="343"/>
      <c r="G512" s="324"/>
      <c r="H512" s="329"/>
      <c r="I512" s="330"/>
      <c r="J512" s="330"/>
      <c r="K512" s="330"/>
      <c r="L512" s="331"/>
    </row>
    <row r="513" spans="1:12" ht="18" customHeight="1" x14ac:dyDescent="0.3">
      <c r="A513" s="344" t="str">
        <f>"- "&amp;'전체 훈련생 평가 채점표'!$G$8</f>
        <v>- 0</v>
      </c>
      <c r="B513" s="345"/>
      <c r="C513" s="345"/>
      <c r="D513" s="345"/>
      <c r="E513" s="345"/>
      <c r="F513" s="346"/>
      <c r="G513" s="325"/>
      <c r="H513" s="332"/>
      <c r="I513" s="333"/>
      <c r="J513" s="333"/>
      <c r="K513" s="333"/>
      <c r="L513" s="334"/>
    </row>
    <row r="514" spans="1:12" ht="18" customHeight="1" x14ac:dyDescent="0.3">
      <c r="A514" s="344" t="str">
        <f>"- "&amp;'전체 훈련생 평가 채점표'!$F$8</f>
        <v>- 포트폴리오</v>
      </c>
      <c r="B514" s="345"/>
      <c r="C514" s="345"/>
      <c r="D514" s="345"/>
      <c r="E514" s="345"/>
      <c r="F514" s="346"/>
      <c r="G514" s="323" t="str">
        <f>IF(AND($J523&lt;=69.9,$J523&gt;=60),"○","")</f>
        <v/>
      </c>
      <c r="H514" s="326" t="s">
        <v>97</v>
      </c>
      <c r="I514" s="327"/>
      <c r="J514" s="327"/>
      <c r="K514" s="327"/>
      <c r="L514" s="328"/>
    </row>
    <row r="515" spans="1:12" ht="18" customHeight="1" x14ac:dyDescent="0.3">
      <c r="A515" s="347"/>
      <c r="B515" s="348"/>
      <c r="C515" s="348"/>
      <c r="D515" s="348"/>
      <c r="E515" s="348"/>
      <c r="F515" s="349"/>
      <c r="G515" s="324"/>
      <c r="H515" s="329"/>
      <c r="I515" s="330"/>
      <c r="J515" s="330"/>
      <c r="K515" s="330"/>
      <c r="L515" s="331"/>
    </row>
    <row r="516" spans="1:12" ht="18" customHeight="1" x14ac:dyDescent="0.3">
      <c r="A516" s="347"/>
      <c r="B516" s="348"/>
      <c r="C516" s="348"/>
      <c r="D516" s="348"/>
      <c r="E516" s="348"/>
      <c r="F516" s="349"/>
      <c r="G516" s="325"/>
      <c r="H516" s="332"/>
      <c r="I516" s="333"/>
      <c r="J516" s="333"/>
      <c r="K516" s="333"/>
      <c r="L516" s="334"/>
    </row>
    <row r="517" spans="1:12" ht="18" customHeight="1" x14ac:dyDescent="0.3">
      <c r="A517" s="347"/>
      <c r="B517" s="348"/>
      <c r="C517" s="348"/>
      <c r="D517" s="348"/>
      <c r="E517" s="348"/>
      <c r="F517" s="349"/>
      <c r="G517" s="323" t="str">
        <f>IF($J523&lt;=59.9,"○","")</f>
        <v/>
      </c>
      <c r="H517" s="326" t="s">
        <v>98</v>
      </c>
      <c r="I517" s="327"/>
      <c r="J517" s="327"/>
      <c r="K517" s="327"/>
      <c r="L517" s="328"/>
    </row>
    <row r="518" spans="1:12" ht="18" customHeight="1" x14ac:dyDescent="0.3">
      <c r="A518" s="347"/>
      <c r="B518" s="348"/>
      <c r="C518" s="348"/>
      <c r="D518" s="348"/>
      <c r="E518" s="348"/>
      <c r="F518" s="349"/>
      <c r="G518" s="324"/>
      <c r="H518" s="329"/>
      <c r="I518" s="330"/>
      <c r="J518" s="330"/>
      <c r="K518" s="330"/>
      <c r="L518" s="331"/>
    </row>
    <row r="519" spans="1:12" ht="18" customHeight="1" x14ac:dyDescent="0.3">
      <c r="A519" s="347"/>
      <c r="B519" s="348"/>
      <c r="C519" s="348"/>
      <c r="D519" s="348"/>
      <c r="E519" s="348"/>
      <c r="F519" s="349"/>
      <c r="G519" s="325"/>
      <c r="H519" s="332"/>
      <c r="I519" s="333"/>
      <c r="J519" s="333"/>
      <c r="K519" s="333"/>
      <c r="L519" s="334"/>
    </row>
    <row r="520" spans="1:12" ht="18" customHeight="1" x14ac:dyDescent="0.3">
      <c r="A520" s="347"/>
      <c r="B520" s="348"/>
      <c r="C520" s="348"/>
      <c r="D520" s="348"/>
      <c r="E520" s="348"/>
      <c r="F520" s="349"/>
      <c r="G520" s="335" t="s">
        <v>99</v>
      </c>
      <c r="H520" s="336"/>
      <c r="I520" s="336"/>
      <c r="J520" s="336"/>
      <c r="K520" s="336"/>
      <c r="L520" s="337"/>
    </row>
    <row r="521" spans="1:12" ht="18" customHeight="1" x14ac:dyDescent="0.3">
      <c r="A521" s="350"/>
      <c r="B521" s="351"/>
      <c r="C521" s="351"/>
      <c r="D521" s="351"/>
      <c r="E521" s="351"/>
      <c r="F521" s="352"/>
      <c r="G521" s="338"/>
      <c r="H521" s="339"/>
      <c r="I521" s="339"/>
      <c r="J521" s="339"/>
      <c r="K521" s="339"/>
      <c r="L521" s="340"/>
    </row>
    <row r="522" spans="1:12" ht="18" customHeight="1" x14ac:dyDescent="0.3">
      <c r="A522" s="353">
        <f>A478</f>
        <v>0</v>
      </c>
      <c r="B522" s="354"/>
      <c r="C522" s="355"/>
      <c r="D522" s="356"/>
      <c r="E522" s="357"/>
      <c r="F522" s="357"/>
      <c r="G522" s="357"/>
      <c r="H522" s="357"/>
      <c r="I522" s="358"/>
      <c r="J522" s="359" t="s">
        <v>125</v>
      </c>
      <c r="K522" s="360"/>
      <c r="L522" s="361"/>
    </row>
    <row r="523" spans="1:12" ht="18" customHeight="1" x14ac:dyDescent="0.3">
      <c r="A523" s="362" t="str">
        <f>A479</f>
        <v>포트폴리오</v>
      </c>
      <c r="B523" s="363"/>
      <c r="C523" s="364"/>
      <c r="D523" s="365">
        <f>'전체 훈련생 평가 채점표'!F20</f>
        <v>78.571428571428569</v>
      </c>
      <c r="E523" s="366"/>
      <c r="F523" s="366"/>
      <c r="G523" s="366"/>
      <c r="H523" s="366"/>
      <c r="I523" s="367"/>
      <c r="J523" s="368">
        <f>IFERROR((D522+D523+D524),0)</f>
        <v>78.571428571428569</v>
      </c>
      <c r="K523" s="369"/>
      <c r="L523" s="370"/>
    </row>
    <row r="524" spans="1:12" ht="18" customHeight="1" x14ac:dyDescent="0.3">
      <c r="A524" s="374">
        <f>A480</f>
        <v>0</v>
      </c>
      <c r="B524" s="375"/>
      <c r="C524" s="376"/>
      <c r="D524" s="377">
        <f>'전체 훈련생 평가 채점표'!G20</f>
        <v>0</v>
      </c>
      <c r="E524" s="378"/>
      <c r="F524" s="378"/>
      <c r="G524" s="378"/>
      <c r="H524" s="378"/>
      <c r="I524" s="379"/>
      <c r="J524" s="371"/>
      <c r="K524" s="372"/>
      <c r="L524" s="373"/>
    </row>
    <row r="525" spans="1:12" ht="18" customHeight="1" x14ac:dyDescent="0.3">
      <c r="A525" s="303" t="s">
        <v>11</v>
      </c>
      <c r="B525" s="304"/>
      <c r="C525" s="304"/>
      <c r="D525" s="304"/>
      <c r="E525" s="304"/>
      <c r="F525" s="304"/>
      <c r="G525" s="304"/>
      <c r="H525" s="304"/>
      <c r="I525" s="304"/>
      <c r="J525" s="304"/>
      <c r="K525" s="304"/>
      <c r="L525" s="305"/>
    </row>
    <row r="526" spans="1:12" ht="18" customHeight="1" x14ac:dyDescent="0.3">
      <c r="A526" s="306" t="s">
        <v>100</v>
      </c>
      <c r="B526" s="307"/>
      <c r="C526" s="307"/>
      <c r="D526" s="307"/>
      <c r="E526" s="307"/>
      <c r="F526" s="307"/>
      <c r="G526" s="307"/>
      <c r="H526" s="307"/>
      <c r="I526" s="307"/>
      <c r="J526" s="307"/>
      <c r="K526" s="307"/>
      <c r="L526" s="308"/>
    </row>
    <row r="527" spans="1:12" ht="18" customHeight="1" x14ac:dyDescent="0.3">
      <c r="A527" s="309" t="s">
        <v>92</v>
      </c>
      <c r="B527" s="309"/>
      <c r="C527" s="309"/>
      <c r="D527" s="310" t="s">
        <v>101</v>
      </c>
      <c r="E527" s="311"/>
      <c r="F527" s="310" t="s">
        <v>102</v>
      </c>
      <c r="G527" s="312"/>
      <c r="H527" s="311"/>
      <c r="I527" s="313">
        <f>$J523</f>
        <v>78.571428571428569</v>
      </c>
      <c r="J527" s="313"/>
      <c r="K527" s="315" t="s">
        <v>103</v>
      </c>
      <c r="L527" s="316"/>
    </row>
    <row r="528" spans="1:12" ht="18" customHeight="1" x14ac:dyDescent="0.3">
      <c r="A528" s="319" t="s">
        <v>104</v>
      </c>
      <c r="B528" s="319"/>
      <c r="C528" s="319"/>
      <c r="D528" s="320" t="s">
        <v>105</v>
      </c>
      <c r="E528" s="321"/>
      <c r="F528" s="320" t="s">
        <v>106</v>
      </c>
      <c r="G528" s="322"/>
      <c r="H528" s="321"/>
      <c r="I528" s="314"/>
      <c r="J528" s="314"/>
      <c r="K528" s="317"/>
      <c r="L528" s="318"/>
    </row>
    <row r="529" spans="1:12" ht="21.95" customHeight="1" x14ac:dyDescent="0.3">
      <c r="A529" s="453" t="str">
        <f>MID(VLOOKUP('전체 훈련생 평가 채점표'!$L$2,'기초데이타(작성필히)'!$A$5:$P$19,9),18,50)&amp;" 수행평가"</f>
        <v xml:space="preserve">  스마트문화앱UX설계 수행평가</v>
      </c>
      <c r="B529" s="453"/>
      <c r="C529" s="453"/>
      <c r="D529" s="453"/>
      <c r="E529" s="453"/>
      <c r="F529" s="453"/>
      <c r="G529" s="453"/>
      <c r="H529" s="453"/>
      <c r="I529" s="453"/>
      <c r="J529" s="453"/>
      <c r="K529" s="453"/>
      <c r="L529" s="453"/>
    </row>
    <row r="530" spans="1:12" ht="18" customHeight="1" x14ac:dyDescent="0.3">
      <c r="A530" s="309" t="s">
        <v>16</v>
      </c>
      <c r="B530" s="454">
        <f>VLOOKUP('전체 훈련생 평가 채점표'!$L$2,'기초데이타(작성필히)'!$A$5:$P$19,3)</f>
        <v>2021</v>
      </c>
      <c r="C530" s="454" t="s">
        <v>17</v>
      </c>
      <c r="D530" s="455" t="str">
        <f>VLOOKUP('전체 훈련생 평가 채점표'!$L$2,'기초데이타(작성필히)'!$A$5:$P$19,4)</f>
        <v>[디지털디자인]반응형 웹디자인(UIUX) &amp; 웹퍼블리셔 디지털 실무 양성과정 A-5</v>
      </c>
      <c r="E530" s="455"/>
      <c r="F530" s="455"/>
      <c r="G530" s="454" t="s">
        <v>18</v>
      </c>
      <c r="H530" s="359" t="str">
        <f>VLOOKUP('전체 훈련생 평가 채점표'!$L$2,'기초데이타(작성필히)'!$A$5:$P$19,5)</f>
        <v>21.08.31 ~ 22.02.07</v>
      </c>
      <c r="I530" s="360"/>
      <c r="J530" s="361"/>
      <c r="K530" s="460" t="s">
        <v>78</v>
      </c>
      <c r="L530" s="309" t="str">
        <f>VLOOKUP('전체 훈련생 평가 채점표'!$L$2,'기초데이타(작성필히)'!$A$5:$P$19,6)</f>
        <v>760H</v>
      </c>
    </row>
    <row r="531" spans="1:12" ht="18" customHeight="1" x14ac:dyDescent="0.3">
      <c r="A531" s="412"/>
      <c r="B531" s="413"/>
      <c r="C531" s="413"/>
      <c r="D531" s="456"/>
      <c r="E531" s="456"/>
      <c r="F531" s="456"/>
      <c r="G531" s="413"/>
      <c r="H531" s="457"/>
      <c r="I531" s="458"/>
      <c r="J531" s="459"/>
      <c r="K531" s="461"/>
      <c r="L531" s="412"/>
    </row>
    <row r="532" spans="1:12" ht="18" customHeight="1" x14ac:dyDescent="0.3">
      <c r="A532" s="412" t="s">
        <v>23</v>
      </c>
      <c r="B532" s="412"/>
      <c r="C532" s="412" t="str">
        <f>LEFT(VLOOKUP('전체 훈련생 평가 채점표'!$L$2,'기초데이타(작성필히)'!$A$5:$P$19,9),17)</f>
        <v>[0803020911_18v3]</v>
      </c>
      <c r="D532" s="412"/>
      <c r="E532" s="412"/>
      <c r="F532" s="412"/>
      <c r="G532" s="413" t="s">
        <v>24</v>
      </c>
      <c r="H532" s="412" t="str">
        <f>VLOOKUP('전체 훈련생 평가 채점표'!$L$2,'기초데이타(작성필히)'!$A$5:$P$19,12)</f>
        <v>이창훈</v>
      </c>
      <c r="I532" s="412"/>
      <c r="J532" s="412"/>
      <c r="K532" s="414"/>
      <c r="L532" s="415" t="s">
        <v>25</v>
      </c>
    </row>
    <row r="533" spans="1:12" ht="18" customHeight="1" x14ac:dyDescent="0.3">
      <c r="A533" s="412"/>
      <c r="B533" s="412"/>
      <c r="C533" s="412" t="str">
        <f>MID(VLOOKUP('전체 훈련생 평가 채점표'!$L$2,'기초데이타(작성필히)'!$A$5:$P$19,9),18,50)</f>
        <v xml:space="preserve">  스마트문화앱UX설계</v>
      </c>
      <c r="D533" s="412"/>
      <c r="E533" s="412"/>
      <c r="F533" s="412"/>
      <c r="G533" s="413"/>
      <c r="H533" s="412"/>
      <c r="I533" s="412"/>
      <c r="J533" s="412"/>
      <c r="K533" s="414"/>
      <c r="L533" s="416"/>
    </row>
    <row r="534" spans="1:12" ht="18" customHeight="1" x14ac:dyDescent="0.3">
      <c r="A534" s="412" t="s">
        <v>79</v>
      </c>
      <c r="B534" s="412"/>
      <c r="C534" s="413" t="str">
        <f>'전체 훈련생 평가 채점표'!B21</f>
        <v>이동욱</v>
      </c>
      <c r="D534" s="413" t="s">
        <v>21</v>
      </c>
      <c r="E534" s="418" t="str">
        <f>VLOOKUP('전체 훈련생 평가 채점표'!$L$2,'기초데이타(작성필히)'!$A$5:$P$19,10)</f>
        <v>21.11.11~21.11.24</v>
      </c>
      <c r="F534" s="419"/>
      <c r="G534" s="420"/>
      <c r="H534" s="60" t="s">
        <v>80</v>
      </c>
      <c r="I534" s="61" t="s">
        <v>22</v>
      </c>
      <c r="J534" s="424" t="s">
        <v>81</v>
      </c>
      <c r="K534" s="425"/>
      <c r="L534" s="426"/>
    </row>
    <row r="535" spans="1:12" ht="18" customHeight="1" x14ac:dyDescent="0.3">
      <c r="A535" s="319"/>
      <c r="B535" s="319"/>
      <c r="C535" s="417"/>
      <c r="D535" s="417"/>
      <c r="E535" s="421"/>
      <c r="F535" s="422"/>
      <c r="G535" s="423"/>
      <c r="H535" s="62" t="s">
        <v>113</v>
      </c>
      <c r="I535" s="62">
        <f>VLOOKUP('전체 훈련생 평가 채점표'!$L$2,'기초데이타(작성필히)'!$A$5:$P$19,11)</f>
        <v>70</v>
      </c>
      <c r="J535" s="314" t="s">
        <v>113</v>
      </c>
      <c r="K535" s="314"/>
      <c r="L535" s="427"/>
    </row>
    <row r="536" spans="1:12" ht="18" customHeight="1" x14ac:dyDescent="0.3"/>
    <row r="537" spans="1:12" ht="18" customHeight="1" x14ac:dyDescent="0.3">
      <c r="A537" s="428" t="s">
        <v>82</v>
      </c>
      <c r="B537" s="429"/>
      <c r="C537" s="429"/>
      <c r="D537" s="431" t="s">
        <v>83</v>
      </c>
      <c r="E537" s="431"/>
      <c r="F537" s="431"/>
      <c r="G537" s="433" t="s">
        <v>84</v>
      </c>
      <c r="H537" s="434"/>
      <c r="I537" s="434"/>
      <c r="J537" s="434"/>
      <c r="K537" s="434"/>
      <c r="L537" s="435"/>
    </row>
    <row r="538" spans="1:12" ht="18" customHeight="1" x14ac:dyDescent="0.3">
      <c r="A538" s="430"/>
      <c r="B538" s="430"/>
      <c r="C538" s="430"/>
      <c r="D538" s="432"/>
      <c r="E538" s="432"/>
      <c r="F538" s="432"/>
      <c r="G538" s="436"/>
      <c r="H538" s="437"/>
      <c r="I538" s="437"/>
      <c r="J538" s="437"/>
      <c r="K538" s="437"/>
      <c r="L538" s="438"/>
    </row>
    <row r="539" spans="1:12" ht="18" customHeight="1" x14ac:dyDescent="0.3">
      <c r="A539" s="383" t="str">
        <f>$C534</f>
        <v>이동욱</v>
      </c>
      <c r="B539" s="439"/>
      <c r="C539" s="439"/>
      <c r="D539" s="441" t="str">
        <f>$H532</f>
        <v>이창훈</v>
      </c>
      <c r="E539" s="443" t="s">
        <v>25</v>
      </c>
      <c r="F539" s="444"/>
      <c r="G539" s="382" t="s">
        <v>85</v>
      </c>
      <c r="H539" s="447">
        <f>VLOOKUP('전체 훈련생 평가 채점표'!$L$2,'기초데이타(작성필히)'!$A$5:$P$19,13)</f>
        <v>44524</v>
      </c>
      <c r="I539" s="448"/>
      <c r="J539" s="448"/>
      <c r="K539" s="449"/>
      <c r="L539" s="391" t="s">
        <v>86</v>
      </c>
    </row>
    <row r="540" spans="1:12" ht="18" customHeight="1" x14ac:dyDescent="0.3">
      <c r="A540" s="440"/>
      <c r="B540" s="440"/>
      <c r="C540" s="440"/>
      <c r="D540" s="442"/>
      <c r="E540" s="445"/>
      <c r="F540" s="446"/>
      <c r="G540" s="384"/>
      <c r="H540" s="450"/>
      <c r="I540" s="451"/>
      <c r="J540" s="451"/>
      <c r="K540" s="452"/>
      <c r="L540" s="392"/>
    </row>
    <row r="541" spans="1:12" ht="18" customHeight="1" x14ac:dyDescent="0.3">
      <c r="A541" s="380" t="s">
        <v>87</v>
      </c>
      <c r="B541" s="380"/>
      <c r="C541" s="380"/>
      <c r="D541" s="382" t="str">
        <f>$C532</f>
        <v>[0803020911_18v3]</v>
      </c>
      <c r="E541" s="382"/>
      <c r="F541" s="382"/>
      <c r="G541" s="382" t="s">
        <v>88</v>
      </c>
      <c r="H541" s="385"/>
      <c r="I541" s="386"/>
      <c r="J541" s="386"/>
      <c r="K541" s="387"/>
      <c r="L541" s="391" t="s">
        <v>86</v>
      </c>
    </row>
    <row r="542" spans="1:12" ht="18" customHeight="1" x14ac:dyDescent="0.3">
      <c r="A542" s="381"/>
      <c r="B542" s="381"/>
      <c r="C542" s="381"/>
      <c r="D542" s="383"/>
      <c r="E542" s="383"/>
      <c r="F542" s="383"/>
      <c r="G542" s="384"/>
      <c r="H542" s="388"/>
      <c r="I542" s="389"/>
      <c r="J542" s="389"/>
      <c r="K542" s="390"/>
      <c r="L542" s="392"/>
    </row>
    <row r="543" spans="1:12" ht="18" customHeight="1" x14ac:dyDescent="0.3">
      <c r="A543" s="393" t="str">
        <f>VLOOKUP('전체 훈련생 평가 채점표'!$L$2,'기초데이타(작성필히)'!$A$5:$P$19,7)</f>
        <v>스타일가이드제작 및 시안디자인 제작2</v>
      </c>
      <c r="B543" s="393"/>
      <c r="C543" s="393"/>
      <c r="D543" s="383" t="str">
        <f>$C533</f>
        <v xml:space="preserve">  스마트문화앱UX설계</v>
      </c>
      <c r="E543" s="383"/>
      <c r="F543" s="383"/>
      <c r="G543" s="382" t="s">
        <v>89</v>
      </c>
      <c r="H543" s="385"/>
      <c r="I543" s="386"/>
      <c r="J543" s="386"/>
      <c r="K543" s="387"/>
      <c r="L543" s="391" t="s">
        <v>86</v>
      </c>
    </row>
    <row r="544" spans="1:12" ht="18" customHeight="1" x14ac:dyDescent="0.3">
      <c r="A544" s="394"/>
      <c r="B544" s="394"/>
      <c r="C544" s="394"/>
      <c r="D544" s="384"/>
      <c r="E544" s="384"/>
      <c r="F544" s="384"/>
      <c r="G544" s="384"/>
      <c r="H544" s="388"/>
      <c r="I544" s="389"/>
      <c r="J544" s="389"/>
      <c r="K544" s="390"/>
      <c r="L544" s="392"/>
    </row>
    <row r="545" spans="1:12" ht="18" customHeight="1" x14ac:dyDescent="0.3">
      <c r="A545" s="395" t="s">
        <v>90</v>
      </c>
      <c r="B545" s="396"/>
      <c r="C545" s="396"/>
      <c r="D545" s="396"/>
      <c r="E545" s="396"/>
      <c r="F545" s="397"/>
      <c r="G545" s="398" t="s">
        <v>91</v>
      </c>
      <c r="H545" s="399"/>
      <c r="I545" s="399"/>
      <c r="J545" s="399"/>
      <c r="K545" s="399"/>
      <c r="L545" s="400"/>
    </row>
    <row r="546" spans="1:12" ht="18" customHeight="1" x14ac:dyDescent="0.3">
      <c r="A546" s="395"/>
      <c r="B546" s="396"/>
      <c r="C546" s="396"/>
      <c r="D546" s="396"/>
      <c r="E546" s="396"/>
      <c r="F546" s="397"/>
      <c r="G546" s="401"/>
      <c r="H546" s="402"/>
      <c r="I546" s="402"/>
      <c r="J546" s="402"/>
      <c r="K546" s="402"/>
      <c r="L546" s="403"/>
    </row>
    <row r="547" spans="1:12" ht="18" customHeight="1" x14ac:dyDescent="0.3">
      <c r="A547" s="341" t="s">
        <v>126</v>
      </c>
      <c r="B547" s="342"/>
      <c r="C547" s="342"/>
      <c r="D547" s="342"/>
      <c r="E547" s="342"/>
      <c r="F547" s="343"/>
      <c r="G547" s="404" t="s">
        <v>92</v>
      </c>
      <c r="H547" s="406" t="s">
        <v>93</v>
      </c>
      <c r="I547" s="407"/>
      <c r="J547" s="407"/>
      <c r="K547" s="407"/>
      <c r="L547" s="408"/>
    </row>
    <row r="548" spans="1:12" ht="18" customHeight="1" x14ac:dyDescent="0.3">
      <c r="A548" s="341"/>
      <c r="B548" s="342"/>
      <c r="C548" s="342"/>
      <c r="D548" s="342"/>
      <c r="E548" s="342"/>
      <c r="F548" s="343"/>
      <c r="G548" s="405"/>
      <c r="H548" s="409"/>
      <c r="I548" s="410"/>
      <c r="J548" s="410"/>
      <c r="K548" s="410"/>
      <c r="L548" s="411"/>
    </row>
    <row r="549" spans="1:12" ht="18" customHeight="1" x14ac:dyDescent="0.3">
      <c r="A549" s="341"/>
      <c r="B549" s="342"/>
      <c r="C549" s="342"/>
      <c r="D549" s="342"/>
      <c r="E549" s="342"/>
      <c r="F549" s="343"/>
      <c r="G549" s="323" t="str">
        <f>IF($J567&gt;=90,"○","")</f>
        <v/>
      </c>
      <c r="H549" s="326" t="s">
        <v>94</v>
      </c>
      <c r="I549" s="327"/>
      <c r="J549" s="327"/>
      <c r="K549" s="327"/>
      <c r="L549" s="328"/>
    </row>
    <row r="550" spans="1:12" ht="18" customHeight="1" x14ac:dyDescent="0.3">
      <c r="A550" s="341"/>
      <c r="B550" s="342"/>
      <c r="C550" s="342"/>
      <c r="D550" s="342"/>
      <c r="E550" s="342"/>
      <c r="F550" s="343"/>
      <c r="G550" s="324"/>
      <c r="H550" s="329"/>
      <c r="I550" s="330"/>
      <c r="J550" s="330"/>
      <c r="K550" s="330"/>
      <c r="L550" s="331"/>
    </row>
    <row r="551" spans="1:12" ht="18" customHeight="1" x14ac:dyDescent="0.3">
      <c r="A551" s="341"/>
      <c r="B551" s="342"/>
      <c r="C551" s="342"/>
      <c r="D551" s="342"/>
      <c r="E551" s="342"/>
      <c r="F551" s="343"/>
      <c r="G551" s="325"/>
      <c r="H551" s="332"/>
      <c r="I551" s="333"/>
      <c r="J551" s="333"/>
      <c r="K551" s="333"/>
      <c r="L551" s="334"/>
    </row>
    <row r="552" spans="1:12" ht="18" customHeight="1" x14ac:dyDescent="0.3">
      <c r="A552" s="341"/>
      <c r="B552" s="342"/>
      <c r="C552" s="342"/>
      <c r="D552" s="342"/>
      <c r="E552" s="342"/>
      <c r="F552" s="343"/>
      <c r="G552" s="323" t="str">
        <f>IF(AND($J567&lt;=89.9,$J567&gt;=80),"○","")</f>
        <v>○</v>
      </c>
      <c r="H552" s="326" t="s">
        <v>95</v>
      </c>
      <c r="I552" s="327"/>
      <c r="J552" s="327"/>
      <c r="K552" s="327"/>
      <c r="L552" s="328"/>
    </row>
    <row r="553" spans="1:12" ht="18" customHeight="1" x14ac:dyDescent="0.3">
      <c r="A553" s="341"/>
      <c r="B553" s="342"/>
      <c r="C553" s="342"/>
      <c r="D553" s="342"/>
      <c r="E553" s="342"/>
      <c r="F553" s="343"/>
      <c r="G553" s="324"/>
      <c r="H553" s="329"/>
      <c r="I553" s="330"/>
      <c r="J553" s="330"/>
      <c r="K553" s="330"/>
      <c r="L553" s="331"/>
    </row>
    <row r="554" spans="1:12" ht="18" customHeight="1" x14ac:dyDescent="0.3">
      <c r="A554" s="341"/>
      <c r="B554" s="342"/>
      <c r="C554" s="342"/>
      <c r="D554" s="342"/>
      <c r="E554" s="342"/>
      <c r="F554" s="343"/>
      <c r="G554" s="325"/>
      <c r="H554" s="332"/>
      <c r="I554" s="333"/>
      <c r="J554" s="333"/>
      <c r="K554" s="333"/>
      <c r="L554" s="334"/>
    </row>
    <row r="555" spans="1:12" ht="18" customHeight="1" x14ac:dyDescent="0.3">
      <c r="A555" s="341"/>
      <c r="B555" s="342"/>
      <c r="C555" s="342"/>
      <c r="D555" s="342"/>
      <c r="E555" s="342"/>
      <c r="F555" s="343"/>
      <c r="G555" s="323" t="str">
        <f>IF(AND($J567&lt;=79.9,$J567&gt;=70),"○","")</f>
        <v/>
      </c>
      <c r="H555" s="326" t="s">
        <v>96</v>
      </c>
      <c r="I555" s="327"/>
      <c r="J555" s="327"/>
      <c r="K555" s="327"/>
      <c r="L555" s="328"/>
    </row>
    <row r="556" spans="1:12" ht="18" customHeight="1" x14ac:dyDescent="0.3">
      <c r="A556" s="341"/>
      <c r="B556" s="342"/>
      <c r="C556" s="342"/>
      <c r="D556" s="342"/>
      <c r="E556" s="342"/>
      <c r="F556" s="343"/>
      <c r="G556" s="324"/>
      <c r="H556" s="329"/>
      <c r="I556" s="330"/>
      <c r="J556" s="330"/>
      <c r="K556" s="330"/>
      <c r="L556" s="331"/>
    </row>
    <row r="557" spans="1:12" ht="18" customHeight="1" x14ac:dyDescent="0.3">
      <c r="A557" s="344" t="str">
        <f>"- "&amp;'전체 훈련생 평가 채점표'!$G$8</f>
        <v>- 0</v>
      </c>
      <c r="B557" s="345"/>
      <c r="C557" s="345"/>
      <c r="D557" s="345"/>
      <c r="E557" s="345"/>
      <c r="F557" s="346"/>
      <c r="G557" s="325"/>
      <c r="H557" s="332"/>
      <c r="I557" s="333"/>
      <c r="J557" s="333"/>
      <c r="K557" s="333"/>
      <c r="L557" s="334"/>
    </row>
    <row r="558" spans="1:12" ht="18" customHeight="1" x14ac:dyDescent="0.3">
      <c r="A558" s="344" t="str">
        <f>"- "&amp;'전체 훈련생 평가 채점표'!$F$8</f>
        <v>- 포트폴리오</v>
      </c>
      <c r="B558" s="345"/>
      <c r="C558" s="345"/>
      <c r="D558" s="345"/>
      <c r="E558" s="345"/>
      <c r="F558" s="346"/>
      <c r="G558" s="323" t="str">
        <f>IF(AND($J567&lt;=69.9,$J567&gt;=60),"○","")</f>
        <v/>
      </c>
      <c r="H558" s="326" t="s">
        <v>97</v>
      </c>
      <c r="I558" s="327"/>
      <c r="J558" s="327"/>
      <c r="K558" s="327"/>
      <c r="L558" s="328"/>
    </row>
    <row r="559" spans="1:12" ht="18" customHeight="1" x14ac:dyDescent="0.3">
      <c r="A559" s="347"/>
      <c r="B559" s="348"/>
      <c r="C559" s="348"/>
      <c r="D559" s="348"/>
      <c r="E559" s="348"/>
      <c r="F559" s="349"/>
      <c r="G559" s="324"/>
      <c r="H559" s="329"/>
      <c r="I559" s="330"/>
      <c r="J559" s="330"/>
      <c r="K559" s="330"/>
      <c r="L559" s="331"/>
    </row>
    <row r="560" spans="1:12" ht="18" customHeight="1" x14ac:dyDescent="0.3">
      <c r="A560" s="347"/>
      <c r="B560" s="348"/>
      <c r="C560" s="348"/>
      <c r="D560" s="348"/>
      <c r="E560" s="348"/>
      <c r="F560" s="349"/>
      <c r="G560" s="325"/>
      <c r="H560" s="332"/>
      <c r="I560" s="333"/>
      <c r="J560" s="333"/>
      <c r="K560" s="333"/>
      <c r="L560" s="334"/>
    </row>
    <row r="561" spans="1:12" ht="18" customHeight="1" x14ac:dyDescent="0.3">
      <c r="A561" s="347"/>
      <c r="B561" s="348"/>
      <c r="C561" s="348"/>
      <c r="D561" s="348"/>
      <c r="E561" s="348"/>
      <c r="F561" s="349"/>
      <c r="G561" s="323" t="str">
        <f>IF($J567&lt;=59.9,"○","")</f>
        <v/>
      </c>
      <c r="H561" s="326" t="s">
        <v>98</v>
      </c>
      <c r="I561" s="327"/>
      <c r="J561" s="327"/>
      <c r="K561" s="327"/>
      <c r="L561" s="328"/>
    </row>
    <row r="562" spans="1:12" ht="18" customHeight="1" x14ac:dyDescent="0.3">
      <c r="A562" s="347"/>
      <c r="B562" s="348"/>
      <c r="C562" s="348"/>
      <c r="D562" s="348"/>
      <c r="E562" s="348"/>
      <c r="F562" s="349"/>
      <c r="G562" s="324"/>
      <c r="H562" s="329"/>
      <c r="I562" s="330"/>
      <c r="J562" s="330"/>
      <c r="K562" s="330"/>
      <c r="L562" s="331"/>
    </row>
    <row r="563" spans="1:12" ht="18" customHeight="1" x14ac:dyDescent="0.3">
      <c r="A563" s="347"/>
      <c r="B563" s="348"/>
      <c r="C563" s="348"/>
      <c r="D563" s="348"/>
      <c r="E563" s="348"/>
      <c r="F563" s="349"/>
      <c r="G563" s="325"/>
      <c r="H563" s="332"/>
      <c r="I563" s="333"/>
      <c r="J563" s="333"/>
      <c r="K563" s="333"/>
      <c r="L563" s="334"/>
    </row>
    <row r="564" spans="1:12" ht="18" customHeight="1" x14ac:dyDescent="0.3">
      <c r="A564" s="347"/>
      <c r="B564" s="348"/>
      <c r="C564" s="348"/>
      <c r="D564" s="348"/>
      <c r="E564" s="348"/>
      <c r="F564" s="349"/>
      <c r="G564" s="335" t="s">
        <v>99</v>
      </c>
      <c r="H564" s="336"/>
      <c r="I564" s="336"/>
      <c r="J564" s="336"/>
      <c r="K564" s="336"/>
      <c r="L564" s="337"/>
    </row>
    <row r="565" spans="1:12" ht="18" customHeight="1" x14ac:dyDescent="0.3">
      <c r="A565" s="350"/>
      <c r="B565" s="351"/>
      <c r="C565" s="351"/>
      <c r="D565" s="351"/>
      <c r="E565" s="351"/>
      <c r="F565" s="352"/>
      <c r="G565" s="338"/>
      <c r="H565" s="339"/>
      <c r="I565" s="339"/>
      <c r="J565" s="339"/>
      <c r="K565" s="339"/>
      <c r="L565" s="340"/>
    </row>
    <row r="566" spans="1:12" ht="18" customHeight="1" x14ac:dyDescent="0.3">
      <c r="A566" s="353">
        <f>A522</f>
        <v>0</v>
      </c>
      <c r="B566" s="354"/>
      <c r="C566" s="355"/>
      <c r="D566" s="356"/>
      <c r="E566" s="357"/>
      <c r="F566" s="357"/>
      <c r="G566" s="357"/>
      <c r="H566" s="357"/>
      <c r="I566" s="358"/>
      <c r="J566" s="359" t="s">
        <v>125</v>
      </c>
      <c r="K566" s="360"/>
      <c r="L566" s="361"/>
    </row>
    <row r="567" spans="1:12" ht="18" customHeight="1" x14ac:dyDescent="0.3">
      <c r="A567" s="362" t="str">
        <f>A523</f>
        <v>포트폴리오</v>
      </c>
      <c r="B567" s="363"/>
      <c r="C567" s="364"/>
      <c r="D567" s="365">
        <f>'전체 훈련생 평가 채점표'!F21</f>
        <v>87.142857142857139</v>
      </c>
      <c r="E567" s="366"/>
      <c r="F567" s="366"/>
      <c r="G567" s="366"/>
      <c r="H567" s="366"/>
      <c r="I567" s="367"/>
      <c r="J567" s="368">
        <f>IFERROR((D566+D567+D568),0)</f>
        <v>87.142857142857139</v>
      </c>
      <c r="K567" s="369"/>
      <c r="L567" s="370"/>
    </row>
    <row r="568" spans="1:12" ht="18" customHeight="1" x14ac:dyDescent="0.3">
      <c r="A568" s="374">
        <f>A524</f>
        <v>0</v>
      </c>
      <c r="B568" s="375"/>
      <c r="C568" s="376"/>
      <c r="D568" s="377">
        <f>'전체 훈련생 평가 채점표'!G21</f>
        <v>0</v>
      </c>
      <c r="E568" s="378"/>
      <c r="F568" s="378"/>
      <c r="G568" s="378"/>
      <c r="H568" s="378"/>
      <c r="I568" s="379"/>
      <c r="J568" s="371"/>
      <c r="K568" s="372"/>
      <c r="L568" s="373"/>
    </row>
    <row r="569" spans="1:12" ht="18" customHeight="1" x14ac:dyDescent="0.3">
      <c r="A569" s="303" t="s">
        <v>11</v>
      </c>
      <c r="B569" s="304"/>
      <c r="C569" s="304"/>
      <c r="D569" s="304"/>
      <c r="E569" s="304"/>
      <c r="F569" s="304"/>
      <c r="G569" s="304"/>
      <c r="H569" s="304"/>
      <c r="I569" s="304"/>
      <c r="J569" s="304"/>
      <c r="K569" s="304"/>
      <c r="L569" s="305"/>
    </row>
    <row r="570" spans="1:12" ht="18" customHeight="1" x14ac:dyDescent="0.3">
      <c r="A570" s="306" t="s">
        <v>100</v>
      </c>
      <c r="B570" s="307"/>
      <c r="C570" s="307"/>
      <c r="D570" s="307"/>
      <c r="E570" s="307"/>
      <c r="F570" s="307"/>
      <c r="G570" s="307"/>
      <c r="H570" s="307"/>
      <c r="I570" s="307"/>
      <c r="J570" s="307"/>
      <c r="K570" s="307"/>
      <c r="L570" s="308"/>
    </row>
    <row r="571" spans="1:12" ht="18" customHeight="1" x14ac:dyDescent="0.3">
      <c r="A571" s="309" t="s">
        <v>92</v>
      </c>
      <c r="B571" s="309"/>
      <c r="C571" s="309"/>
      <c r="D571" s="310" t="s">
        <v>101</v>
      </c>
      <c r="E571" s="311"/>
      <c r="F571" s="310" t="s">
        <v>102</v>
      </c>
      <c r="G571" s="312"/>
      <c r="H571" s="311"/>
      <c r="I571" s="313">
        <f>$J567</f>
        <v>87.142857142857139</v>
      </c>
      <c r="J571" s="313"/>
      <c r="K571" s="315" t="s">
        <v>103</v>
      </c>
      <c r="L571" s="316"/>
    </row>
    <row r="572" spans="1:12" ht="18" customHeight="1" x14ac:dyDescent="0.3">
      <c r="A572" s="319" t="s">
        <v>104</v>
      </c>
      <c r="B572" s="319"/>
      <c r="C572" s="319"/>
      <c r="D572" s="320" t="s">
        <v>105</v>
      </c>
      <c r="E572" s="321"/>
      <c r="F572" s="320" t="s">
        <v>106</v>
      </c>
      <c r="G572" s="322"/>
      <c r="H572" s="321"/>
      <c r="I572" s="314"/>
      <c r="J572" s="314"/>
      <c r="K572" s="317"/>
      <c r="L572" s="318"/>
    </row>
    <row r="573" spans="1:12" ht="21.95" customHeight="1" x14ac:dyDescent="0.3">
      <c r="A573" s="453" t="str">
        <f>MID(VLOOKUP('전체 훈련생 평가 채점표'!$L$2,'기초데이타(작성필히)'!$A$5:$P$19,9),18,50)&amp;" 수행평가"</f>
        <v xml:space="preserve">  스마트문화앱UX설계 수행평가</v>
      </c>
      <c r="B573" s="453"/>
      <c r="C573" s="453"/>
      <c r="D573" s="453"/>
      <c r="E573" s="453"/>
      <c r="F573" s="453"/>
      <c r="G573" s="453"/>
      <c r="H573" s="453"/>
      <c r="I573" s="453"/>
      <c r="J573" s="453"/>
      <c r="K573" s="453"/>
      <c r="L573" s="453"/>
    </row>
    <row r="574" spans="1:12" ht="18" customHeight="1" x14ac:dyDescent="0.3">
      <c r="A574" s="309" t="s">
        <v>16</v>
      </c>
      <c r="B574" s="454">
        <f>VLOOKUP('전체 훈련생 평가 채점표'!$L$2,'기초데이타(작성필히)'!$A$5:$P$19,3)</f>
        <v>2021</v>
      </c>
      <c r="C574" s="454" t="s">
        <v>17</v>
      </c>
      <c r="D574" s="455" t="str">
        <f>VLOOKUP('전체 훈련생 평가 채점표'!$L$2,'기초데이타(작성필히)'!$A$5:$P$19,4)</f>
        <v>[디지털디자인]반응형 웹디자인(UIUX) &amp; 웹퍼블리셔 디지털 실무 양성과정 A-5</v>
      </c>
      <c r="E574" s="455"/>
      <c r="F574" s="455"/>
      <c r="G574" s="454" t="s">
        <v>18</v>
      </c>
      <c r="H574" s="359" t="str">
        <f>VLOOKUP('전체 훈련생 평가 채점표'!$L$2,'기초데이타(작성필히)'!$A$5:$P$19,5)</f>
        <v>21.08.31 ~ 22.02.07</v>
      </c>
      <c r="I574" s="360"/>
      <c r="J574" s="361"/>
      <c r="K574" s="460" t="s">
        <v>78</v>
      </c>
      <c r="L574" s="309" t="str">
        <f>VLOOKUP('전체 훈련생 평가 채점표'!$L$2,'기초데이타(작성필히)'!$A$5:$P$19,6)</f>
        <v>760H</v>
      </c>
    </row>
    <row r="575" spans="1:12" ht="18" customHeight="1" x14ac:dyDescent="0.3">
      <c r="A575" s="412"/>
      <c r="B575" s="413"/>
      <c r="C575" s="413"/>
      <c r="D575" s="456"/>
      <c r="E575" s="456"/>
      <c r="F575" s="456"/>
      <c r="G575" s="413"/>
      <c r="H575" s="457"/>
      <c r="I575" s="458"/>
      <c r="J575" s="459"/>
      <c r="K575" s="461"/>
      <c r="L575" s="412"/>
    </row>
    <row r="576" spans="1:12" ht="18" customHeight="1" x14ac:dyDescent="0.3">
      <c r="A576" s="412" t="s">
        <v>23</v>
      </c>
      <c r="B576" s="412"/>
      <c r="C576" s="412" t="str">
        <f>LEFT(VLOOKUP('전체 훈련생 평가 채점표'!$L$2,'기초데이타(작성필히)'!$A$5:$P$19,9),17)</f>
        <v>[0803020911_18v3]</v>
      </c>
      <c r="D576" s="412"/>
      <c r="E576" s="412"/>
      <c r="F576" s="412"/>
      <c r="G576" s="413" t="s">
        <v>24</v>
      </c>
      <c r="H576" s="412" t="str">
        <f>VLOOKUP('전체 훈련생 평가 채점표'!$L$2,'기초데이타(작성필히)'!$A$5:$P$19,12)</f>
        <v>이창훈</v>
      </c>
      <c r="I576" s="412"/>
      <c r="J576" s="412"/>
      <c r="K576" s="414"/>
      <c r="L576" s="415" t="s">
        <v>25</v>
      </c>
    </row>
    <row r="577" spans="1:12" ht="18" customHeight="1" x14ac:dyDescent="0.3">
      <c r="A577" s="412"/>
      <c r="B577" s="412"/>
      <c r="C577" s="412" t="str">
        <f>MID(VLOOKUP('전체 훈련생 평가 채점표'!$L$2,'기초데이타(작성필히)'!$A$5:$P$19,9),18,50)</f>
        <v xml:space="preserve">  스마트문화앱UX설계</v>
      </c>
      <c r="D577" s="412"/>
      <c r="E577" s="412"/>
      <c r="F577" s="412"/>
      <c r="G577" s="413"/>
      <c r="H577" s="412"/>
      <c r="I577" s="412"/>
      <c r="J577" s="412"/>
      <c r="K577" s="414"/>
      <c r="L577" s="416"/>
    </row>
    <row r="578" spans="1:12" ht="18" customHeight="1" x14ac:dyDescent="0.3">
      <c r="A578" s="412" t="s">
        <v>79</v>
      </c>
      <c r="B578" s="412"/>
      <c r="C578" s="413" t="str">
        <f>'전체 훈련생 평가 채점표'!B22</f>
        <v>이은진</v>
      </c>
      <c r="D578" s="413" t="s">
        <v>21</v>
      </c>
      <c r="E578" s="418" t="str">
        <f>VLOOKUP('전체 훈련생 평가 채점표'!$L$2,'기초데이타(작성필히)'!$A$5:$P$19,10)</f>
        <v>21.11.11~21.11.24</v>
      </c>
      <c r="F578" s="419"/>
      <c r="G578" s="420"/>
      <c r="H578" s="60" t="s">
        <v>80</v>
      </c>
      <c r="I578" s="61" t="s">
        <v>22</v>
      </c>
      <c r="J578" s="424" t="s">
        <v>81</v>
      </c>
      <c r="K578" s="425"/>
      <c r="L578" s="426"/>
    </row>
    <row r="579" spans="1:12" ht="18" customHeight="1" x14ac:dyDescent="0.3">
      <c r="A579" s="319"/>
      <c r="B579" s="319"/>
      <c r="C579" s="417"/>
      <c r="D579" s="417"/>
      <c r="E579" s="421"/>
      <c r="F579" s="422"/>
      <c r="G579" s="423"/>
      <c r="H579" s="62" t="s">
        <v>113</v>
      </c>
      <c r="I579" s="62">
        <f>VLOOKUP('전체 훈련생 평가 채점표'!$L$2,'기초데이타(작성필히)'!$A$5:$P$19,11)</f>
        <v>70</v>
      </c>
      <c r="J579" s="314" t="s">
        <v>113</v>
      </c>
      <c r="K579" s="314"/>
      <c r="L579" s="427"/>
    </row>
    <row r="580" spans="1:12" ht="18" customHeight="1" x14ac:dyDescent="0.3"/>
    <row r="581" spans="1:12" ht="18" customHeight="1" x14ac:dyDescent="0.3">
      <c r="A581" s="428" t="s">
        <v>82</v>
      </c>
      <c r="B581" s="429"/>
      <c r="C581" s="429"/>
      <c r="D581" s="431" t="s">
        <v>83</v>
      </c>
      <c r="E581" s="431"/>
      <c r="F581" s="431"/>
      <c r="G581" s="433" t="s">
        <v>84</v>
      </c>
      <c r="H581" s="434"/>
      <c r="I581" s="434"/>
      <c r="J581" s="434"/>
      <c r="K581" s="434"/>
      <c r="L581" s="435"/>
    </row>
    <row r="582" spans="1:12" ht="18" customHeight="1" x14ac:dyDescent="0.3">
      <c r="A582" s="430"/>
      <c r="B582" s="430"/>
      <c r="C582" s="430"/>
      <c r="D582" s="432"/>
      <c r="E582" s="432"/>
      <c r="F582" s="432"/>
      <c r="G582" s="436"/>
      <c r="H582" s="437"/>
      <c r="I582" s="437"/>
      <c r="J582" s="437"/>
      <c r="K582" s="437"/>
      <c r="L582" s="438"/>
    </row>
    <row r="583" spans="1:12" ht="18" customHeight="1" x14ac:dyDescent="0.3">
      <c r="A583" s="383" t="str">
        <f>$C578</f>
        <v>이은진</v>
      </c>
      <c r="B583" s="439"/>
      <c r="C583" s="439"/>
      <c r="D583" s="441" t="str">
        <f>$H576</f>
        <v>이창훈</v>
      </c>
      <c r="E583" s="443" t="s">
        <v>25</v>
      </c>
      <c r="F583" s="444"/>
      <c r="G583" s="382" t="s">
        <v>85</v>
      </c>
      <c r="H583" s="447">
        <f>VLOOKUP('전체 훈련생 평가 채점표'!$L$2,'기초데이타(작성필히)'!$A$5:$P$19,13)</f>
        <v>44524</v>
      </c>
      <c r="I583" s="448"/>
      <c r="J583" s="448"/>
      <c r="K583" s="449"/>
      <c r="L583" s="391" t="s">
        <v>86</v>
      </c>
    </row>
    <row r="584" spans="1:12" ht="18" customHeight="1" x14ac:dyDescent="0.3">
      <c r="A584" s="440"/>
      <c r="B584" s="440"/>
      <c r="C584" s="440"/>
      <c r="D584" s="442"/>
      <c r="E584" s="445"/>
      <c r="F584" s="446"/>
      <c r="G584" s="384"/>
      <c r="H584" s="450"/>
      <c r="I584" s="451"/>
      <c r="J584" s="451"/>
      <c r="K584" s="452"/>
      <c r="L584" s="392"/>
    </row>
    <row r="585" spans="1:12" ht="18" customHeight="1" x14ac:dyDescent="0.3">
      <c r="A585" s="380" t="s">
        <v>87</v>
      </c>
      <c r="B585" s="380"/>
      <c r="C585" s="380"/>
      <c r="D585" s="382" t="str">
        <f>$C576</f>
        <v>[0803020911_18v3]</v>
      </c>
      <c r="E585" s="382"/>
      <c r="F585" s="382"/>
      <c r="G585" s="382" t="s">
        <v>88</v>
      </c>
      <c r="H585" s="385"/>
      <c r="I585" s="386"/>
      <c r="J585" s="386"/>
      <c r="K585" s="387"/>
      <c r="L585" s="391" t="s">
        <v>86</v>
      </c>
    </row>
    <row r="586" spans="1:12" ht="18" customHeight="1" x14ac:dyDescent="0.3">
      <c r="A586" s="381"/>
      <c r="B586" s="381"/>
      <c r="C586" s="381"/>
      <c r="D586" s="383"/>
      <c r="E586" s="383"/>
      <c r="F586" s="383"/>
      <c r="G586" s="384"/>
      <c r="H586" s="388"/>
      <c r="I586" s="389"/>
      <c r="J586" s="389"/>
      <c r="K586" s="390"/>
      <c r="L586" s="392"/>
    </row>
    <row r="587" spans="1:12" ht="18" customHeight="1" x14ac:dyDescent="0.3">
      <c r="A587" s="393" t="str">
        <f>VLOOKUP('전체 훈련생 평가 채점표'!$L$2,'기초데이타(작성필히)'!$A$5:$P$19,7)</f>
        <v>스타일가이드제작 및 시안디자인 제작2</v>
      </c>
      <c r="B587" s="393"/>
      <c r="C587" s="393"/>
      <c r="D587" s="383" t="str">
        <f>$C577</f>
        <v xml:space="preserve">  스마트문화앱UX설계</v>
      </c>
      <c r="E587" s="383"/>
      <c r="F587" s="383"/>
      <c r="G587" s="382" t="s">
        <v>89</v>
      </c>
      <c r="H587" s="385"/>
      <c r="I587" s="386"/>
      <c r="J587" s="386"/>
      <c r="K587" s="387"/>
      <c r="L587" s="391" t="s">
        <v>86</v>
      </c>
    </row>
    <row r="588" spans="1:12" ht="18" customHeight="1" x14ac:dyDescent="0.3">
      <c r="A588" s="394"/>
      <c r="B588" s="394"/>
      <c r="C588" s="394"/>
      <c r="D588" s="384"/>
      <c r="E588" s="384"/>
      <c r="F588" s="384"/>
      <c r="G588" s="384"/>
      <c r="H588" s="388"/>
      <c r="I588" s="389"/>
      <c r="J588" s="389"/>
      <c r="K588" s="390"/>
      <c r="L588" s="392"/>
    </row>
    <row r="589" spans="1:12" ht="18" customHeight="1" x14ac:dyDescent="0.3">
      <c r="A589" s="395" t="s">
        <v>90</v>
      </c>
      <c r="B589" s="396"/>
      <c r="C589" s="396"/>
      <c r="D589" s="396"/>
      <c r="E589" s="396"/>
      <c r="F589" s="397"/>
      <c r="G589" s="398" t="s">
        <v>91</v>
      </c>
      <c r="H589" s="399"/>
      <c r="I589" s="399"/>
      <c r="J589" s="399"/>
      <c r="K589" s="399"/>
      <c r="L589" s="400"/>
    </row>
    <row r="590" spans="1:12" ht="18" customHeight="1" x14ac:dyDescent="0.3">
      <c r="A590" s="395"/>
      <c r="B590" s="396"/>
      <c r="C590" s="396"/>
      <c r="D590" s="396"/>
      <c r="E590" s="396"/>
      <c r="F590" s="397"/>
      <c r="G590" s="401"/>
      <c r="H590" s="402"/>
      <c r="I590" s="402"/>
      <c r="J590" s="402"/>
      <c r="K590" s="402"/>
      <c r="L590" s="403"/>
    </row>
    <row r="591" spans="1:12" ht="18" customHeight="1" x14ac:dyDescent="0.3">
      <c r="A591" s="341" t="s">
        <v>126</v>
      </c>
      <c r="B591" s="342"/>
      <c r="C591" s="342"/>
      <c r="D591" s="342"/>
      <c r="E591" s="342"/>
      <c r="F591" s="343"/>
      <c r="G591" s="404" t="s">
        <v>92</v>
      </c>
      <c r="H591" s="406" t="s">
        <v>93</v>
      </c>
      <c r="I591" s="407"/>
      <c r="J591" s="407"/>
      <c r="K591" s="407"/>
      <c r="L591" s="408"/>
    </row>
    <row r="592" spans="1:12" ht="18" customHeight="1" x14ac:dyDescent="0.3">
      <c r="A592" s="341"/>
      <c r="B592" s="342"/>
      <c r="C592" s="342"/>
      <c r="D592" s="342"/>
      <c r="E592" s="342"/>
      <c r="F592" s="343"/>
      <c r="G592" s="405"/>
      <c r="H592" s="409"/>
      <c r="I592" s="410"/>
      <c r="J592" s="410"/>
      <c r="K592" s="410"/>
      <c r="L592" s="411"/>
    </row>
    <row r="593" spans="1:12" ht="18" customHeight="1" x14ac:dyDescent="0.3">
      <c r="A593" s="341"/>
      <c r="B593" s="342"/>
      <c r="C593" s="342"/>
      <c r="D593" s="342"/>
      <c r="E593" s="342"/>
      <c r="F593" s="343"/>
      <c r="G593" s="323" t="str">
        <f>IF($J611&gt;=90,"○","")</f>
        <v>○</v>
      </c>
      <c r="H593" s="326" t="s">
        <v>94</v>
      </c>
      <c r="I593" s="327"/>
      <c r="J593" s="327"/>
      <c r="K593" s="327"/>
      <c r="L593" s="328"/>
    </row>
    <row r="594" spans="1:12" ht="18" customHeight="1" x14ac:dyDescent="0.3">
      <c r="A594" s="341"/>
      <c r="B594" s="342"/>
      <c r="C594" s="342"/>
      <c r="D594" s="342"/>
      <c r="E594" s="342"/>
      <c r="F594" s="343"/>
      <c r="G594" s="324"/>
      <c r="H594" s="329"/>
      <c r="I594" s="330"/>
      <c r="J594" s="330"/>
      <c r="K594" s="330"/>
      <c r="L594" s="331"/>
    </row>
    <row r="595" spans="1:12" ht="18" customHeight="1" x14ac:dyDescent="0.3">
      <c r="A595" s="341"/>
      <c r="B595" s="342"/>
      <c r="C595" s="342"/>
      <c r="D595" s="342"/>
      <c r="E595" s="342"/>
      <c r="F595" s="343"/>
      <c r="G595" s="325"/>
      <c r="H595" s="332"/>
      <c r="I595" s="333"/>
      <c r="J595" s="333"/>
      <c r="K595" s="333"/>
      <c r="L595" s="334"/>
    </row>
    <row r="596" spans="1:12" ht="18" customHeight="1" x14ac:dyDescent="0.3">
      <c r="A596" s="341"/>
      <c r="B596" s="342"/>
      <c r="C596" s="342"/>
      <c r="D596" s="342"/>
      <c r="E596" s="342"/>
      <c r="F596" s="343"/>
      <c r="G596" s="323" t="str">
        <f>IF(AND($J611&lt;=89.9,$J611&gt;=80),"○","")</f>
        <v/>
      </c>
      <c r="H596" s="326" t="s">
        <v>95</v>
      </c>
      <c r="I596" s="327"/>
      <c r="J596" s="327"/>
      <c r="K596" s="327"/>
      <c r="L596" s="328"/>
    </row>
    <row r="597" spans="1:12" ht="18" customHeight="1" x14ac:dyDescent="0.3">
      <c r="A597" s="341"/>
      <c r="B597" s="342"/>
      <c r="C597" s="342"/>
      <c r="D597" s="342"/>
      <c r="E597" s="342"/>
      <c r="F597" s="343"/>
      <c r="G597" s="324"/>
      <c r="H597" s="329"/>
      <c r="I597" s="330"/>
      <c r="J597" s="330"/>
      <c r="K597" s="330"/>
      <c r="L597" s="331"/>
    </row>
    <row r="598" spans="1:12" ht="18" customHeight="1" x14ac:dyDescent="0.3">
      <c r="A598" s="341"/>
      <c r="B598" s="342"/>
      <c r="C598" s="342"/>
      <c r="D598" s="342"/>
      <c r="E598" s="342"/>
      <c r="F598" s="343"/>
      <c r="G598" s="325"/>
      <c r="H598" s="332"/>
      <c r="I598" s="333"/>
      <c r="J598" s="333"/>
      <c r="K598" s="333"/>
      <c r="L598" s="334"/>
    </row>
    <row r="599" spans="1:12" ht="18" customHeight="1" x14ac:dyDescent="0.3">
      <c r="A599" s="341"/>
      <c r="B599" s="342"/>
      <c r="C599" s="342"/>
      <c r="D599" s="342"/>
      <c r="E599" s="342"/>
      <c r="F599" s="343"/>
      <c r="G599" s="323" t="str">
        <f>IF(AND($J611&lt;=79.9,$J611&gt;=70),"○","")</f>
        <v/>
      </c>
      <c r="H599" s="326" t="s">
        <v>96</v>
      </c>
      <c r="I599" s="327"/>
      <c r="J599" s="327"/>
      <c r="K599" s="327"/>
      <c r="L599" s="328"/>
    </row>
    <row r="600" spans="1:12" ht="18" customHeight="1" x14ac:dyDescent="0.3">
      <c r="A600" s="341"/>
      <c r="B600" s="342"/>
      <c r="C600" s="342"/>
      <c r="D600" s="342"/>
      <c r="E600" s="342"/>
      <c r="F600" s="343"/>
      <c r="G600" s="324"/>
      <c r="H600" s="329"/>
      <c r="I600" s="330"/>
      <c r="J600" s="330"/>
      <c r="K600" s="330"/>
      <c r="L600" s="331"/>
    </row>
    <row r="601" spans="1:12" ht="18" customHeight="1" x14ac:dyDescent="0.3">
      <c r="A601" s="344" t="str">
        <f>"- "&amp;'전체 훈련생 평가 채점표'!$G$8</f>
        <v>- 0</v>
      </c>
      <c r="B601" s="345"/>
      <c r="C601" s="345"/>
      <c r="D601" s="345"/>
      <c r="E601" s="345"/>
      <c r="F601" s="346"/>
      <c r="G601" s="325"/>
      <c r="H601" s="332"/>
      <c r="I601" s="333"/>
      <c r="J601" s="333"/>
      <c r="K601" s="333"/>
      <c r="L601" s="334"/>
    </row>
    <row r="602" spans="1:12" ht="18" customHeight="1" x14ac:dyDescent="0.3">
      <c r="A602" s="344" t="str">
        <f>"- "&amp;'전체 훈련생 평가 채점표'!$F$8</f>
        <v>- 포트폴리오</v>
      </c>
      <c r="B602" s="345"/>
      <c r="C602" s="345"/>
      <c r="D602" s="345"/>
      <c r="E602" s="345"/>
      <c r="F602" s="346"/>
      <c r="G602" s="323" t="str">
        <f>IF(AND($J611&lt;=69.9,$J611&gt;=60),"○","")</f>
        <v/>
      </c>
      <c r="H602" s="326" t="s">
        <v>97</v>
      </c>
      <c r="I602" s="327"/>
      <c r="J602" s="327"/>
      <c r="K602" s="327"/>
      <c r="L602" s="328"/>
    </row>
    <row r="603" spans="1:12" ht="18" customHeight="1" x14ac:dyDescent="0.3">
      <c r="A603" s="347"/>
      <c r="B603" s="348"/>
      <c r="C603" s="348"/>
      <c r="D603" s="348"/>
      <c r="E603" s="348"/>
      <c r="F603" s="349"/>
      <c r="G603" s="324"/>
      <c r="H603" s="329"/>
      <c r="I603" s="330"/>
      <c r="J603" s="330"/>
      <c r="K603" s="330"/>
      <c r="L603" s="331"/>
    </row>
    <row r="604" spans="1:12" ht="18" customHeight="1" x14ac:dyDescent="0.3">
      <c r="A604" s="347"/>
      <c r="B604" s="348"/>
      <c r="C604" s="348"/>
      <c r="D604" s="348"/>
      <c r="E604" s="348"/>
      <c r="F604" s="349"/>
      <c r="G604" s="325"/>
      <c r="H604" s="332"/>
      <c r="I604" s="333"/>
      <c r="J604" s="333"/>
      <c r="K604" s="333"/>
      <c r="L604" s="334"/>
    </row>
    <row r="605" spans="1:12" ht="18" customHeight="1" x14ac:dyDescent="0.3">
      <c r="A605" s="347"/>
      <c r="B605" s="348"/>
      <c r="C605" s="348"/>
      <c r="D605" s="348"/>
      <c r="E605" s="348"/>
      <c r="F605" s="349"/>
      <c r="G605" s="323" t="str">
        <f>IF($J611&lt;=59.9,"○","")</f>
        <v/>
      </c>
      <c r="H605" s="326" t="s">
        <v>98</v>
      </c>
      <c r="I605" s="327"/>
      <c r="J605" s="327"/>
      <c r="K605" s="327"/>
      <c r="L605" s="328"/>
    </row>
    <row r="606" spans="1:12" ht="18" customHeight="1" x14ac:dyDescent="0.3">
      <c r="A606" s="347"/>
      <c r="B606" s="348"/>
      <c r="C606" s="348"/>
      <c r="D606" s="348"/>
      <c r="E606" s="348"/>
      <c r="F606" s="349"/>
      <c r="G606" s="324"/>
      <c r="H606" s="329"/>
      <c r="I606" s="330"/>
      <c r="J606" s="330"/>
      <c r="K606" s="330"/>
      <c r="L606" s="331"/>
    </row>
    <row r="607" spans="1:12" ht="18" customHeight="1" x14ac:dyDescent="0.3">
      <c r="A607" s="347"/>
      <c r="B607" s="348"/>
      <c r="C607" s="348"/>
      <c r="D607" s="348"/>
      <c r="E607" s="348"/>
      <c r="F607" s="349"/>
      <c r="G607" s="325"/>
      <c r="H607" s="332"/>
      <c r="I607" s="333"/>
      <c r="J607" s="333"/>
      <c r="K607" s="333"/>
      <c r="L607" s="334"/>
    </row>
    <row r="608" spans="1:12" ht="18" customHeight="1" x14ac:dyDescent="0.3">
      <c r="A608" s="347"/>
      <c r="B608" s="348"/>
      <c r="C608" s="348"/>
      <c r="D608" s="348"/>
      <c r="E608" s="348"/>
      <c r="F608" s="349"/>
      <c r="G608" s="335" t="s">
        <v>99</v>
      </c>
      <c r="H608" s="336"/>
      <c r="I608" s="336"/>
      <c r="J608" s="336"/>
      <c r="K608" s="336"/>
      <c r="L608" s="337"/>
    </row>
    <row r="609" spans="1:12" ht="18" customHeight="1" x14ac:dyDescent="0.3">
      <c r="A609" s="350"/>
      <c r="B609" s="351"/>
      <c r="C609" s="351"/>
      <c r="D609" s="351"/>
      <c r="E609" s="351"/>
      <c r="F609" s="352"/>
      <c r="G609" s="338"/>
      <c r="H609" s="339"/>
      <c r="I609" s="339"/>
      <c r="J609" s="339"/>
      <c r="K609" s="339"/>
      <c r="L609" s="340"/>
    </row>
    <row r="610" spans="1:12" ht="18" customHeight="1" x14ac:dyDescent="0.3">
      <c r="A610" s="353">
        <f>A566</f>
        <v>0</v>
      </c>
      <c r="B610" s="354"/>
      <c r="C610" s="355"/>
      <c r="D610" s="356"/>
      <c r="E610" s="357"/>
      <c r="F610" s="357"/>
      <c r="G610" s="357"/>
      <c r="H610" s="357"/>
      <c r="I610" s="358"/>
      <c r="J610" s="359" t="s">
        <v>125</v>
      </c>
      <c r="K610" s="360"/>
      <c r="L610" s="361"/>
    </row>
    <row r="611" spans="1:12" ht="18" customHeight="1" x14ac:dyDescent="0.3">
      <c r="A611" s="362" t="str">
        <f>A567</f>
        <v>포트폴리오</v>
      </c>
      <c r="B611" s="363"/>
      <c r="C611" s="364"/>
      <c r="D611" s="365">
        <f>'전체 훈련생 평가 채점표'!F22</f>
        <v>95.714285714285722</v>
      </c>
      <c r="E611" s="366"/>
      <c r="F611" s="366"/>
      <c r="G611" s="366"/>
      <c r="H611" s="366"/>
      <c r="I611" s="367"/>
      <c r="J611" s="368">
        <f>IFERROR((D610+D611+D612),0)</f>
        <v>95.714285714285722</v>
      </c>
      <c r="K611" s="369"/>
      <c r="L611" s="370"/>
    </row>
    <row r="612" spans="1:12" ht="18" customHeight="1" x14ac:dyDescent="0.3">
      <c r="A612" s="374">
        <f>A568</f>
        <v>0</v>
      </c>
      <c r="B612" s="375"/>
      <c r="C612" s="376"/>
      <c r="D612" s="377">
        <f>'전체 훈련생 평가 채점표'!G22</f>
        <v>0</v>
      </c>
      <c r="E612" s="378"/>
      <c r="F612" s="378"/>
      <c r="G612" s="378"/>
      <c r="H612" s="378"/>
      <c r="I612" s="379"/>
      <c r="J612" s="371"/>
      <c r="K612" s="372"/>
      <c r="L612" s="373"/>
    </row>
    <row r="613" spans="1:12" ht="18" customHeight="1" x14ac:dyDescent="0.3">
      <c r="A613" s="303" t="s">
        <v>11</v>
      </c>
      <c r="B613" s="304"/>
      <c r="C613" s="304"/>
      <c r="D613" s="304"/>
      <c r="E613" s="304"/>
      <c r="F613" s="304"/>
      <c r="G613" s="304"/>
      <c r="H613" s="304"/>
      <c r="I613" s="304"/>
      <c r="J613" s="304"/>
      <c r="K613" s="304"/>
      <c r="L613" s="305"/>
    </row>
    <row r="614" spans="1:12" ht="18" customHeight="1" x14ac:dyDescent="0.3">
      <c r="A614" s="306" t="s">
        <v>100</v>
      </c>
      <c r="B614" s="307"/>
      <c r="C614" s="307"/>
      <c r="D614" s="307"/>
      <c r="E614" s="307"/>
      <c r="F614" s="307"/>
      <c r="G614" s="307"/>
      <c r="H614" s="307"/>
      <c r="I614" s="307"/>
      <c r="J614" s="307"/>
      <c r="K614" s="307"/>
      <c r="L614" s="308"/>
    </row>
    <row r="615" spans="1:12" ht="18" customHeight="1" x14ac:dyDescent="0.3">
      <c r="A615" s="309" t="s">
        <v>92</v>
      </c>
      <c r="B615" s="309"/>
      <c r="C615" s="309"/>
      <c r="D615" s="310" t="s">
        <v>101</v>
      </c>
      <c r="E615" s="311"/>
      <c r="F615" s="310" t="s">
        <v>102</v>
      </c>
      <c r="G615" s="312"/>
      <c r="H615" s="311"/>
      <c r="I615" s="313">
        <f>$J611</f>
        <v>95.714285714285722</v>
      </c>
      <c r="J615" s="313"/>
      <c r="K615" s="315" t="s">
        <v>103</v>
      </c>
      <c r="L615" s="316"/>
    </row>
    <row r="616" spans="1:12" ht="18" customHeight="1" x14ac:dyDescent="0.3">
      <c r="A616" s="319" t="s">
        <v>104</v>
      </c>
      <c r="B616" s="319"/>
      <c r="C616" s="319"/>
      <c r="D616" s="320" t="s">
        <v>105</v>
      </c>
      <c r="E616" s="321"/>
      <c r="F616" s="320" t="s">
        <v>106</v>
      </c>
      <c r="G616" s="322"/>
      <c r="H616" s="321"/>
      <c r="I616" s="314"/>
      <c r="J616" s="314"/>
      <c r="K616" s="317"/>
      <c r="L616" s="318"/>
    </row>
    <row r="617" spans="1:12" ht="21.95" customHeight="1" x14ac:dyDescent="0.3">
      <c r="A617" s="453" t="str">
        <f>MID(VLOOKUP('전체 훈련생 평가 채점표'!$L$2,'기초데이타(작성필히)'!$A$5:$P$19,9),18,50)&amp;" 수행평가"</f>
        <v xml:space="preserve">  스마트문화앱UX설계 수행평가</v>
      </c>
      <c r="B617" s="453"/>
      <c r="C617" s="453"/>
      <c r="D617" s="453"/>
      <c r="E617" s="453"/>
      <c r="F617" s="453"/>
      <c r="G617" s="453"/>
      <c r="H617" s="453"/>
      <c r="I617" s="453"/>
      <c r="J617" s="453"/>
      <c r="K617" s="453"/>
      <c r="L617" s="453"/>
    </row>
    <row r="618" spans="1:12" ht="18" customHeight="1" x14ac:dyDescent="0.3">
      <c r="A618" s="309" t="s">
        <v>16</v>
      </c>
      <c r="B618" s="454">
        <f>VLOOKUP('전체 훈련생 평가 채점표'!$L$2,'기초데이타(작성필히)'!$A$5:$P$19,3)</f>
        <v>2021</v>
      </c>
      <c r="C618" s="454" t="s">
        <v>17</v>
      </c>
      <c r="D618" s="455" t="str">
        <f>VLOOKUP('전체 훈련생 평가 채점표'!$L$2,'기초데이타(작성필히)'!$A$5:$P$19,4)</f>
        <v>[디지털디자인]반응형 웹디자인(UIUX) &amp; 웹퍼블리셔 디지털 실무 양성과정 A-5</v>
      </c>
      <c r="E618" s="455"/>
      <c r="F618" s="455"/>
      <c r="G618" s="454" t="s">
        <v>18</v>
      </c>
      <c r="H618" s="359" t="str">
        <f>VLOOKUP('전체 훈련생 평가 채점표'!$L$2,'기초데이타(작성필히)'!$A$5:$P$19,5)</f>
        <v>21.08.31 ~ 22.02.07</v>
      </c>
      <c r="I618" s="360"/>
      <c r="J618" s="361"/>
      <c r="K618" s="460" t="s">
        <v>78</v>
      </c>
      <c r="L618" s="309" t="str">
        <f>VLOOKUP('전체 훈련생 평가 채점표'!$L$2,'기초데이타(작성필히)'!$A$5:$P$19,6)</f>
        <v>760H</v>
      </c>
    </row>
    <row r="619" spans="1:12" ht="18" customHeight="1" x14ac:dyDescent="0.3">
      <c r="A619" s="412"/>
      <c r="B619" s="413"/>
      <c r="C619" s="413"/>
      <c r="D619" s="456"/>
      <c r="E619" s="456"/>
      <c r="F619" s="456"/>
      <c r="G619" s="413"/>
      <c r="H619" s="457"/>
      <c r="I619" s="458"/>
      <c r="J619" s="459"/>
      <c r="K619" s="461"/>
      <c r="L619" s="412"/>
    </row>
    <row r="620" spans="1:12" ht="18" customHeight="1" x14ac:dyDescent="0.3">
      <c r="A620" s="412" t="s">
        <v>23</v>
      </c>
      <c r="B620" s="412"/>
      <c r="C620" s="412" t="str">
        <f>LEFT(VLOOKUP('전체 훈련생 평가 채점표'!$L$2,'기초데이타(작성필히)'!$A$5:$P$19,9),17)</f>
        <v>[0803020911_18v3]</v>
      </c>
      <c r="D620" s="412"/>
      <c r="E620" s="412"/>
      <c r="F620" s="412"/>
      <c r="G620" s="413" t="s">
        <v>24</v>
      </c>
      <c r="H620" s="412" t="str">
        <f>VLOOKUP('전체 훈련생 평가 채점표'!$L$2,'기초데이타(작성필히)'!$A$5:$P$19,12)</f>
        <v>이창훈</v>
      </c>
      <c r="I620" s="412"/>
      <c r="J620" s="412"/>
      <c r="K620" s="414"/>
      <c r="L620" s="415" t="s">
        <v>25</v>
      </c>
    </row>
    <row r="621" spans="1:12" ht="18" customHeight="1" x14ac:dyDescent="0.3">
      <c r="A621" s="412"/>
      <c r="B621" s="412"/>
      <c r="C621" s="412" t="str">
        <f>MID(VLOOKUP('전체 훈련생 평가 채점표'!$L$2,'기초데이타(작성필히)'!$A$5:$P$19,9),18,50)</f>
        <v xml:space="preserve">  스마트문화앱UX설계</v>
      </c>
      <c r="D621" s="412"/>
      <c r="E621" s="412"/>
      <c r="F621" s="412"/>
      <c r="G621" s="413"/>
      <c r="H621" s="412"/>
      <c r="I621" s="412"/>
      <c r="J621" s="412"/>
      <c r="K621" s="414"/>
      <c r="L621" s="416"/>
    </row>
    <row r="622" spans="1:12" ht="18" customHeight="1" x14ac:dyDescent="0.3">
      <c r="A622" s="412" t="s">
        <v>79</v>
      </c>
      <c r="B622" s="412"/>
      <c r="C622" s="413" t="str">
        <f>'전체 훈련생 평가 채점표'!B23</f>
        <v>이혜민</v>
      </c>
      <c r="D622" s="413" t="s">
        <v>21</v>
      </c>
      <c r="E622" s="418" t="str">
        <f>VLOOKUP('전체 훈련생 평가 채점표'!$L$2,'기초데이타(작성필히)'!$A$5:$P$19,10)</f>
        <v>21.11.11~21.11.24</v>
      </c>
      <c r="F622" s="419"/>
      <c r="G622" s="420"/>
      <c r="H622" s="60" t="s">
        <v>80</v>
      </c>
      <c r="I622" s="61" t="s">
        <v>22</v>
      </c>
      <c r="J622" s="424" t="s">
        <v>81</v>
      </c>
      <c r="K622" s="425"/>
      <c r="L622" s="426"/>
    </row>
    <row r="623" spans="1:12" ht="18" customHeight="1" x14ac:dyDescent="0.3">
      <c r="A623" s="319"/>
      <c r="B623" s="319"/>
      <c r="C623" s="417"/>
      <c r="D623" s="417"/>
      <c r="E623" s="421"/>
      <c r="F623" s="422"/>
      <c r="G623" s="423"/>
      <c r="H623" s="62" t="s">
        <v>113</v>
      </c>
      <c r="I623" s="62">
        <f>VLOOKUP('전체 훈련생 평가 채점표'!$L$2,'기초데이타(작성필히)'!$A$5:$P$19,11)</f>
        <v>70</v>
      </c>
      <c r="J623" s="314" t="s">
        <v>113</v>
      </c>
      <c r="K623" s="314"/>
      <c r="L623" s="427"/>
    </row>
    <row r="624" spans="1:12" ht="18" customHeight="1" x14ac:dyDescent="0.3"/>
    <row r="625" spans="1:12" ht="18" customHeight="1" x14ac:dyDescent="0.3">
      <c r="A625" s="428" t="s">
        <v>82</v>
      </c>
      <c r="B625" s="429"/>
      <c r="C625" s="429"/>
      <c r="D625" s="431" t="s">
        <v>83</v>
      </c>
      <c r="E625" s="431"/>
      <c r="F625" s="431"/>
      <c r="G625" s="433" t="s">
        <v>84</v>
      </c>
      <c r="H625" s="434"/>
      <c r="I625" s="434"/>
      <c r="J625" s="434"/>
      <c r="K625" s="434"/>
      <c r="L625" s="435"/>
    </row>
    <row r="626" spans="1:12" ht="18" customHeight="1" x14ac:dyDescent="0.3">
      <c r="A626" s="430"/>
      <c r="B626" s="430"/>
      <c r="C626" s="430"/>
      <c r="D626" s="432"/>
      <c r="E626" s="432"/>
      <c r="F626" s="432"/>
      <c r="G626" s="436"/>
      <c r="H626" s="437"/>
      <c r="I626" s="437"/>
      <c r="J626" s="437"/>
      <c r="K626" s="437"/>
      <c r="L626" s="438"/>
    </row>
    <row r="627" spans="1:12" ht="18" customHeight="1" x14ac:dyDescent="0.3">
      <c r="A627" s="383" t="str">
        <f>$C622</f>
        <v>이혜민</v>
      </c>
      <c r="B627" s="439"/>
      <c r="C627" s="439"/>
      <c r="D627" s="441" t="str">
        <f>$H620</f>
        <v>이창훈</v>
      </c>
      <c r="E627" s="443" t="s">
        <v>25</v>
      </c>
      <c r="F627" s="444"/>
      <c r="G627" s="382" t="s">
        <v>85</v>
      </c>
      <c r="H627" s="447">
        <f>VLOOKUP('전체 훈련생 평가 채점표'!$L$2,'기초데이타(작성필히)'!$A$5:$P$19,13)</f>
        <v>44524</v>
      </c>
      <c r="I627" s="448"/>
      <c r="J627" s="448"/>
      <c r="K627" s="449"/>
      <c r="L627" s="391" t="s">
        <v>86</v>
      </c>
    </row>
    <row r="628" spans="1:12" ht="18" customHeight="1" x14ac:dyDescent="0.3">
      <c r="A628" s="440"/>
      <c r="B628" s="440"/>
      <c r="C628" s="440"/>
      <c r="D628" s="442"/>
      <c r="E628" s="445"/>
      <c r="F628" s="446"/>
      <c r="G628" s="384"/>
      <c r="H628" s="450"/>
      <c r="I628" s="451"/>
      <c r="J628" s="451"/>
      <c r="K628" s="452"/>
      <c r="L628" s="392"/>
    </row>
    <row r="629" spans="1:12" ht="18" customHeight="1" x14ac:dyDescent="0.3">
      <c r="A629" s="380" t="s">
        <v>87</v>
      </c>
      <c r="B629" s="380"/>
      <c r="C629" s="380"/>
      <c r="D629" s="382" t="str">
        <f>$C620</f>
        <v>[0803020911_18v3]</v>
      </c>
      <c r="E629" s="382"/>
      <c r="F629" s="382"/>
      <c r="G629" s="382" t="s">
        <v>88</v>
      </c>
      <c r="H629" s="385"/>
      <c r="I629" s="386"/>
      <c r="J629" s="386"/>
      <c r="K629" s="387"/>
      <c r="L629" s="391" t="s">
        <v>86</v>
      </c>
    </row>
    <row r="630" spans="1:12" ht="18" customHeight="1" x14ac:dyDescent="0.3">
      <c r="A630" s="381"/>
      <c r="B630" s="381"/>
      <c r="C630" s="381"/>
      <c r="D630" s="383"/>
      <c r="E630" s="383"/>
      <c r="F630" s="383"/>
      <c r="G630" s="384"/>
      <c r="H630" s="388"/>
      <c r="I630" s="389"/>
      <c r="J630" s="389"/>
      <c r="K630" s="390"/>
      <c r="L630" s="392"/>
    </row>
    <row r="631" spans="1:12" ht="18" customHeight="1" x14ac:dyDescent="0.3">
      <c r="A631" s="393" t="str">
        <f>VLOOKUP('전체 훈련생 평가 채점표'!$L$2,'기초데이타(작성필히)'!$A$5:$P$19,7)</f>
        <v>스타일가이드제작 및 시안디자인 제작2</v>
      </c>
      <c r="B631" s="393"/>
      <c r="C631" s="393"/>
      <c r="D631" s="383" t="str">
        <f>$C621</f>
        <v xml:space="preserve">  스마트문화앱UX설계</v>
      </c>
      <c r="E631" s="383"/>
      <c r="F631" s="383"/>
      <c r="G631" s="382" t="s">
        <v>89</v>
      </c>
      <c r="H631" s="385"/>
      <c r="I631" s="386"/>
      <c r="J631" s="386"/>
      <c r="K631" s="387"/>
      <c r="L631" s="391" t="s">
        <v>86</v>
      </c>
    </row>
    <row r="632" spans="1:12" ht="18" customHeight="1" x14ac:dyDescent="0.3">
      <c r="A632" s="394"/>
      <c r="B632" s="394"/>
      <c r="C632" s="394"/>
      <c r="D632" s="384"/>
      <c r="E632" s="384"/>
      <c r="F632" s="384"/>
      <c r="G632" s="384"/>
      <c r="H632" s="388"/>
      <c r="I632" s="389"/>
      <c r="J632" s="389"/>
      <c r="K632" s="390"/>
      <c r="L632" s="392"/>
    </row>
    <row r="633" spans="1:12" ht="18" customHeight="1" x14ac:dyDescent="0.3">
      <c r="A633" s="395" t="s">
        <v>90</v>
      </c>
      <c r="B633" s="396"/>
      <c r="C633" s="396"/>
      <c r="D633" s="396"/>
      <c r="E633" s="396"/>
      <c r="F633" s="397"/>
      <c r="G633" s="398" t="s">
        <v>91</v>
      </c>
      <c r="H633" s="399"/>
      <c r="I633" s="399"/>
      <c r="J633" s="399"/>
      <c r="K633" s="399"/>
      <c r="L633" s="400"/>
    </row>
    <row r="634" spans="1:12" ht="18" customHeight="1" x14ac:dyDescent="0.3">
      <c r="A634" s="395"/>
      <c r="B634" s="396"/>
      <c r="C634" s="396"/>
      <c r="D634" s="396"/>
      <c r="E634" s="396"/>
      <c r="F634" s="397"/>
      <c r="G634" s="401"/>
      <c r="H634" s="402"/>
      <c r="I634" s="402"/>
      <c r="J634" s="402"/>
      <c r="K634" s="402"/>
      <c r="L634" s="403"/>
    </row>
    <row r="635" spans="1:12" ht="18" customHeight="1" x14ac:dyDescent="0.3">
      <c r="A635" s="341" t="s">
        <v>126</v>
      </c>
      <c r="B635" s="342"/>
      <c r="C635" s="342"/>
      <c r="D635" s="342"/>
      <c r="E635" s="342"/>
      <c r="F635" s="343"/>
      <c r="G635" s="404" t="s">
        <v>92</v>
      </c>
      <c r="H635" s="406" t="s">
        <v>93</v>
      </c>
      <c r="I635" s="407"/>
      <c r="J635" s="407"/>
      <c r="K635" s="407"/>
      <c r="L635" s="408"/>
    </row>
    <row r="636" spans="1:12" ht="18" customHeight="1" x14ac:dyDescent="0.3">
      <c r="A636" s="341"/>
      <c r="B636" s="342"/>
      <c r="C636" s="342"/>
      <c r="D636" s="342"/>
      <c r="E636" s="342"/>
      <c r="F636" s="343"/>
      <c r="G636" s="405"/>
      <c r="H636" s="409"/>
      <c r="I636" s="410"/>
      <c r="J636" s="410"/>
      <c r="K636" s="410"/>
      <c r="L636" s="411"/>
    </row>
    <row r="637" spans="1:12" ht="18" customHeight="1" x14ac:dyDescent="0.3">
      <c r="A637" s="341"/>
      <c r="B637" s="342"/>
      <c r="C637" s="342"/>
      <c r="D637" s="342"/>
      <c r="E637" s="342"/>
      <c r="F637" s="343"/>
      <c r="G637" s="323" t="str">
        <f>IF($J655&gt;=90,"○","")</f>
        <v>○</v>
      </c>
      <c r="H637" s="326" t="s">
        <v>94</v>
      </c>
      <c r="I637" s="327"/>
      <c r="J637" s="327"/>
      <c r="K637" s="327"/>
      <c r="L637" s="328"/>
    </row>
    <row r="638" spans="1:12" ht="18" customHeight="1" x14ac:dyDescent="0.3">
      <c r="A638" s="341"/>
      <c r="B638" s="342"/>
      <c r="C638" s="342"/>
      <c r="D638" s="342"/>
      <c r="E638" s="342"/>
      <c r="F638" s="343"/>
      <c r="G638" s="324"/>
      <c r="H638" s="329"/>
      <c r="I638" s="330"/>
      <c r="J638" s="330"/>
      <c r="K638" s="330"/>
      <c r="L638" s="331"/>
    </row>
    <row r="639" spans="1:12" ht="18" customHeight="1" x14ac:dyDescent="0.3">
      <c r="A639" s="341"/>
      <c r="B639" s="342"/>
      <c r="C639" s="342"/>
      <c r="D639" s="342"/>
      <c r="E639" s="342"/>
      <c r="F639" s="343"/>
      <c r="G639" s="325"/>
      <c r="H639" s="332"/>
      <c r="I639" s="333"/>
      <c r="J639" s="333"/>
      <c r="K639" s="333"/>
      <c r="L639" s="334"/>
    </row>
    <row r="640" spans="1:12" ht="18" customHeight="1" x14ac:dyDescent="0.3">
      <c r="A640" s="341"/>
      <c r="B640" s="342"/>
      <c r="C640" s="342"/>
      <c r="D640" s="342"/>
      <c r="E640" s="342"/>
      <c r="F640" s="343"/>
      <c r="G640" s="323" t="str">
        <f>IF(AND($J655&lt;=89.9,$J655&gt;=80),"○","")</f>
        <v/>
      </c>
      <c r="H640" s="326" t="s">
        <v>95</v>
      </c>
      <c r="I640" s="327"/>
      <c r="J640" s="327"/>
      <c r="K640" s="327"/>
      <c r="L640" s="328"/>
    </row>
    <row r="641" spans="1:12" ht="18" customHeight="1" x14ac:dyDescent="0.3">
      <c r="A641" s="341"/>
      <c r="B641" s="342"/>
      <c r="C641" s="342"/>
      <c r="D641" s="342"/>
      <c r="E641" s="342"/>
      <c r="F641" s="343"/>
      <c r="G641" s="324"/>
      <c r="H641" s="329"/>
      <c r="I641" s="330"/>
      <c r="J641" s="330"/>
      <c r="K641" s="330"/>
      <c r="L641" s="331"/>
    </row>
    <row r="642" spans="1:12" ht="18" customHeight="1" x14ac:dyDescent="0.3">
      <c r="A642" s="341"/>
      <c r="B642" s="342"/>
      <c r="C642" s="342"/>
      <c r="D642" s="342"/>
      <c r="E642" s="342"/>
      <c r="F642" s="343"/>
      <c r="G642" s="325"/>
      <c r="H642" s="332"/>
      <c r="I642" s="333"/>
      <c r="J642" s="333"/>
      <c r="K642" s="333"/>
      <c r="L642" s="334"/>
    </row>
    <row r="643" spans="1:12" ht="18" customHeight="1" x14ac:dyDescent="0.3">
      <c r="A643" s="341"/>
      <c r="B643" s="342"/>
      <c r="C643" s="342"/>
      <c r="D643" s="342"/>
      <c r="E643" s="342"/>
      <c r="F643" s="343"/>
      <c r="G643" s="323" t="str">
        <f>IF(AND($J655&lt;=79.9,$J655&gt;=70),"○","")</f>
        <v/>
      </c>
      <c r="H643" s="326" t="s">
        <v>96</v>
      </c>
      <c r="I643" s="327"/>
      <c r="J643" s="327"/>
      <c r="K643" s="327"/>
      <c r="L643" s="328"/>
    </row>
    <row r="644" spans="1:12" ht="18" customHeight="1" x14ac:dyDescent="0.3">
      <c r="A644" s="341"/>
      <c r="B644" s="342"/>
      <c r="C644" s="342"/>
      <c r="D644" s="342"/>
      <c r="E644" s="342"/>
      <c r="F644" s="343"/>
      <c r="G644" s="324"/>
      <c r="H644" s="329"/>
      <c r="I644" s="330"/>
      <c r="J644" s="330"/>
      <c r="K644" s="330"/>
      <c r="L644" s="331"/>
    </row>
    <row r="645" spans="1:12" ht="18" customHeight="1" x14ac:dyDescent="0.3">
      <c r="A645" s="344" t="str">
        <f>"- "&amp;'전체 훈련생 평가 채점표'!$G$8</f>
        <v>- 0</v>
      </c>
      <c r="B645" s="345"/>
      <c r="C645" s="345"/>
      <c r="D645" s="345"/>
      <c r="E645" s="345"/>
      <c r="F645" s="346"/>
      <c r="G645" s="325"/>
      <c r="H645" s="332"/>
      <c r="I645" s="333"/>
      <c r="J645" s="333"/>
      <c r="K645" s="333"/>
      <c r="L645" s="334"/>
    </row>
    <row r="646" spans="1:12" ht="18" customHeight="1" x14ac:dyDescent="0.3">
      <c r="A646" s="344" t="str">
        <f>"- "&amp;'전체 훈련생 평가 채점표'!$F$8</f>
        <v>- 포트폴리오</v>
      </c>
      <c r="B646" s="345"/>
      <c r="C646" s="345"/>
      <c r="D646" s="345"/>
      <c r="E646" s="345"/>
      <c r="F646" s="346"/>
      <c r="G646" s="323" t="str">
        <f>IF(AND($J655&lt;=69.9,$J655&gt;=60),"○","")</f>
        <v/>
      </c>
      <c r="H646" s="326" t="s">
        <v>97</v>
      </c>
      <c r="I646" s="327"/>
      <c r="J646" s="327"/>
      <c r="K646" s="327"/>
      <c r="L646" s="328"/>
    </row>
    <row r="647" spans="1:12" ht="18" customHeight="1" x14ac:dyDescent="0.3">
      <c r="A647" s="347"/>
      <c r="B647" s="348"/>
      <c r="C647" s="348"/>
      <c r="D647" s="348"/>
      <c r="E647" s="348"/>
      <c r="F647" s="349"/>
      <c r="G647" s="324"/>
      <c r="H647" s="329"/>
      <c r="I647" s="330"/>
      <c r="J647" s="330"/>
      <c r="K647" s="330"/>
      <c r="L647" s="331"/>
    </row>
    <row r="648" spans="1:12" ht="18" customHeight="1" x14ac:dyDescent="0.3">
      <c r="A648" s="347"/>
      <c r="B648" s="348"/>
      <c r="C648" s="348"/>
      <c r="D648" s="348"/>
      <c r="E648" s="348"/>
      <c r="F648" s="349"/>
      <c r="G648" s="325"/>
      <c r="H648" s="332"/>
      <c r="I648" s="333"/>
      <c r="J648" s="333"/>
      <c r="K648" s="333"/>
      <c r="L648" s="334"/>
    </row>
    <row r="649" spans="1:12" ht="18" customHeight="1" x14ac:dyDescent="0.3">
      <c r="A649" s="347"/>
      <c r="B649" s="348"/>
      <c r="C649" s="348"/>
      <c r="D649" s="348"/>
      <c r="E649" s="348"/>
      <c r="F649" s="349"/>
      <c r="G649" s="323" t="str">
        <f>IF($J655&lt;=59.9,"○","")</f>
        <v/>
      </c>
      <c r="H649" s="326" t="s">
        <v>98</v>
      </c>
      <c r="I649" s="327"/>
      <c r="J649" s="327"/>
      <c r="K649" s="327"/>
      <c r="L649" s="328"/>
    </row>
    <row r="650" spans="1:12" ht="18" customHeight="1" x14ac:dyDescent="0.3">
      <c r="A650" s="347"/>
      <c r="B650" s="348"/>
      <c r="C650" s="348"/>
      <c r="D650" s="348"/>
      <c r="E650" s="348"/>
      <c r="F650" s="349"/>
      <c r="G650" s="324"/>
      <c r="H650" s="329"/>
      <c r="I650" s="330"/>
      <c r="J650" s="330"/>
      <c r="K650" s="330"/>
      <c r="L650" s="331"/>
    </row>
    <row r="651" spans="1:12" ht="18" customHeight="1" x14ac:dyDescent="0.3">
      <c r="A651" s="347"/>
      <c r="B651" s="348"/>
      <c r="C651" s="348"/>
      <c r="D651" s="348"/>
      <c r="E651" s="348"/>
      <c r="F651" s="349"/>
      <c r="G651" s="325"/>
      <c r="H651" s="332"/>
      <c r="I651" s="333"/>
      <c r="J651" s="333"/>
      <c r="K651" s="333"/>
      <c r="L651" s="334"/>
    </row>
    <row r="652" spans="1:12" ht="18" customHeight="1" x14ac:dyDescent="0.3">
      <c r="A652" s="347"/>
      <c r="B652" s="348"/>
      <c r="C652" s="348"/>
      <c r="D652" s="348"/>
      <c r="E652" s="348"/>
      <c r="F652" s="349"/>
      <c r="G652" s="335" t="s">
        <v>99</v>
      </c>
      <c r="H652" s="336"/>
      <c r="I652" s="336"/>
      <c r="J652" s="336"/>
      <c r="K652" s="336"/>
      <c r="L652" s="337"/>
    </row>
    <row r="653" spans="1:12" ht="18" customHeight="1" x14ac:dyDescent="0.3">
      <c r="A653" s="350"/>
      <c r="B653" s="351"/>
      <c r="C653" s="351"/>
      <c r="D653" s="351"/>
      <c r="E653" s="351"/>
      <c r="F653" s="352"/>
      <c r="G653" s="338"/>
      <c r="H653" s="339"/>
      <c r="I653" s="339"/>
      <c r="J653" s="339"/>
      <c r="K653" s="339"/>
      <c r="L653" s="340"/>
    </row>
    <row r="654" spans="1:12" ht="18" customHeight="1" x14ac:dyDescent="0.3">
      <c r="A654" s="353">
        <f>A610</f>
        <v>0</v>
      </c>
      <c r="B654" s="354"/>
      <c r="C654" s="355"/>
      <c r="D654" s="356"/>
      <c r="E654" s="357"/>
      <c r="F654" s="357"/>
      <c r="G654" s="357"/>
      <c r="H654" s="357"/>
      <c r="I654" s="358"/>
      <c r="J654" s="359" t="s">
        <v>125</v>
      </c>
      <c r="K654" s="360"/>
      <c r="L654" s="361"/>
    </row>
    <row r="655" spans="1:12" ht="18" customHeight="1" x14ac:dyDescent="0.3">
      <c r="A655" s="362" t="str">
        <f>A611</f>
        <v>포트폴리오</v>
      </c>
      <c r="B655" s="363"/>
      <c r="C655" s="364"/>
      <c r="D655" s="365">
        <f>'전체 훈련생 평가 채점표'!F23</f>
        <v>91.428571428571431</v>
      </c>
      <c r="E655" s="366"/>
      <c r="F655" s="366"/>
      <c r="G655" s="366"/>
      <c r="H655" s="366"/>
      <c r="I655" s="367"/>
      <c r="J655" s="368">
        <f>IFERROR((D654+D655+D656),0)</f>
        <v>91.428571428571431</v>
      </c>
      <c r="K655" s="369"/>
      <c r="L655" s="370"/>
    </row>
    <row r="656" spans="1:12" ht="18" customHeight="1" x14ac:dyDescent="0.3">
      <c r="A656" s="374">
        <f>A612</f>
        <v>0</v>
      </c>
      <c r="B656" s="375"/>
      <c r="C656" s="376"/>
      <c r="D656" s="377">
        <f>'전체 훈련생 평가 채점표'!G23</f>
        <v>0</v>
      </c>
      <c r="E656" s="378"/>
      <c r="F656" s="378"/>
      <c r="G656" s="378"/>
      <c r="H656" s="378"/>
      <c r="I656" s="379"/>
      <c r="J656" s="371"/>
      <c r="K656" s="372"/>
      <c r="L656" s="373"/>
    </row>
    <row r="657" spans="1:12" ht="18" customHeight="1" x14ac:dyDescent="0.3">
      <c r="A657" s="303" t="s">
        <v>11</v>
      </c>
      <c r="B657" s="304"/>
      <c r="C657" s="304"/>
      <c r="D657" s="304"/>
      <c r="E657" s="304"/>
      <c r="F657" s="304"/>
      <c r="G657" s="304"/>
      <c r="H657" s="304"/>
      <c r="I657" s="304"/>
      <c r="J657" s="304"/>
      <c r="K657" s="304"/>
      <c r="L657" s="305"/>
    </row>
    <row r="658" spans="1:12" ht="18" customHeight="1" x14ac:dyDescent="0.3">
      <c r="A658" s="306" t="s">
        <v>100</v>
      </c>
      <c r="B658" s="307"/>
      <c r="C658" s="307"/>
      <c r="D658" s="307"/>
      <c r="E658" s="307"/>
      <c r="F658" s="307"/>
      <c r="G658" s="307"/>
      <c r="H658" s="307"/>
      <c r="I658" s="307"/>
      <c r="J658" s="307"/>
      <c r="K658" s="307"/>
      <c r="L658" s="308"/>
    </row>
    <row r="659" spans="1:12" ht="18" customHeight="1" x14ac:dyDescent="0.3">
      <c r="A659" s="309" t="s">
        <v>92</v>
      </c>
      <c r="B659" s="309"/>
      <c r="C659" s="309"/>
      <c r="D659" s="310" t="s">
        <v>101</v>
      </c>
      <c r="E659" s="311"/>
      <c r="F659" s="310" t="s">
        <v>102</v>
      </c>
      <c r="G659" s="312"/>
      <c r="H659" s="311"/>
      <c r="I659" s="313">
        <f>$J655</f>
        <v>91.428571428571431</v>
      </c>
      <c r="J659" s="313"/>
      <c r="K659" s="315" t="s">
        <v>103</v>
      </c>
      <c r="L659" s="316"/>
    </row>
    <row r="660" spans="1:12" ht="18" customHeight="1" x14ac:dyDescent="0.3">
      <c r="A660" s="319" t="s">
        <v>104</v>
      </c>
      <c r="B660" s="319"/>
      <c r="C660" s="319"/>
      <c r="D660" s="320" t="s">
        <v>105</v>
      </c>
      <c r="E660" s="321"/>
      <c r="F660" s="320" t="s">
        <v>106</v>
      </c>
      <c r="G660" s="322"/>
      <c r="H660" s="321"/>
      <c r="I660" s="314"/>
      <c r="J660" s="314"/>
      <c r="K660" s="317"/>
      <c r="L660" s="318"/>
    </row>
    <row r="661" spans="1:12" ht="21.95" customHeight="1" x14ac:dyDescent="0.3">
      <c r="A661" s="453" t="str">
        <f>MID(VLOOKUP('전체 훈련생 평가 채점표'!$L$2,'기초데이타(작성필히)'!$A$5:$P$19,9),18,50)&amp;" 수행평가"</f>
        <v xml:space="preserve">  스마트문화앱UX설계 수행평가</v>
      </c>
      <c r="B661" s="453"/>
      <c r="C661" s="453"/>
      <c r="D661" s="453"/>
      <c r="E661" s="453"/>
      <c r="F661" s="453"/>
      <c r="G661" s="453"/>
      <c r="H661" s="453"/>
      <c r="I661" s="453"/>
      <c r="J661" s="453"/>
      <c r="K661" s="453"/>
      <c r="L661" s="453"/>
    </row>
    <row r="662" spans="1:12" ht="18" customHeight="1" x14ac:dyDescent="0.3">
      <c r="A662" s="309" t="s">
        <v>16</v>
      </c>
      <c r="B662" s="454">
        <f>VLOOKUP('전체 훈련생 평가 채점표'!$L$2,'기초데이타(작성필히)'!$A$5:$P$19,3)</f>
        <v>2021</v>
      </c>
      <c r="C662" s="454" t="s">
        <v>17</v>
      </c>
      <c r="D662" s="455" t="str">
        <f>VLOOKUP('전체 훈련생 평가 채점표'!$L$2,'기초데이타(작성필히)'!$A$5:$P$19,4)</f>
        <v>[디지털디자인]반응형 웹디자인(UIUX) &amp; 웹퍼블리셔 디지털 실무 양성과정 A-5</v>
      </c>
      <c r="E662" s="455"/>
      <c r="F662" s="455"/>
      <c r="G662" s="454" t="s">
        <v>18</v>
      </c>
      <c r="H662" s="359" t="str">
        <f>VLOOKUP('전체 훈련생 평가 채점표'!$L$2,'기초데이타(작성필히)'!$A$5:$P$19,5)</f>
        <v>21.08.31 ~ 22.02.07</v>
      </c>
      <c r="I662" s="360"/>
      <c r="J662" s="361"/>
      <c r="K662" s="460" t="s">
        <v>78</v>
      </c>
      <c r="L662" s="309" t="str">
        <f>VLOOKUP('전체 훈련생 평가 채점표'!$L$2,'기초데이타(작성필히)'!$A$5:$P$19,6)</f>
        <v>760H</v>
      </c>
    </row>
    <row r="663" spans="1:12" ht="18" customHeight="1" x14ac:dyDescent="0.3">
      <c r="A663" s="412"/>
      <c r="B663" s="413"/>
      <c r="C663" s="413"/>
      <c r="D663" s="456"/>
      <c r="E663" s="456"/>
      <c r="F663" s="456"/>
      <c r="G663" s="413"/>
      <c r="H663" s="457"/>
      <c r="I663" s="458"/>
      <c r="J663" s="459"/>
      <c r="K663" s="461"/>
      <c r="L663" s="412"/>
    </row>
    <row r="664" spans="1:12" ht="18" customHeight="1" x14ac:dyDescent="0.3">
      <c r="A664" s="412" t="s">
        <v>23</v>
      </c>
      <c r="B664" s="412"/>
      <c r="C664" s="412" t="str">
        <f>LEFT(VLOOKUP('전체 훈련생 평가 채점표'!$L$2,'기초데이타(작성필히)'!$A$5:$P$19,9),17)</f>
        <v>[0803020911_18v3]</v>
      </c>
      <c r="D664" s="412"/>
      <c r="E664" s="412"/>
      <c r="F664" s="412"/>
      <c r="G664" s="413" t="s">
        <v>24</v>
      </c>
      <c r="H664" s="412" t="str">
        <f>VLOOKUP('전체 훈련생 평가 채점표'!$L$2,'기초데이타(작성필히)'!$A$5:$P$19,12)</f>
        <v>이창훈</v>
      </c>
      <c r="I664" s="412"/>
      <c r="J664" s="412"/>
      <c r="K664" s="414"/>
      <c r="L664" s="415" t="s">
        <v>25</v>
      </c>
    </row>
    <row r="665" spans="1:12" ht="18" customHeight="1" x14ac:dyDescent="0.3">
      <c r="A665" s="412"/>
      <c r="B665" s="412"/>
      <c r="C665" s="412" t="str">
        <f>MID(VLOOKUP('전체 훈련생 평가 채점표'!$L$2,'기초데이타(작성필히)'!$A$5:$P$19,9),18,50)</f>
        <v xml:space="preserve">  스마트문화앱UX설계</v>
      </c>
      <c r="D665" s="412"/>
      <c r="E665" s="412"/>
      <c r="F665" s="412"/>
      <c r="G665" s="413"/>
      <c r="H665" s="412"/>
      <c r="I665" s="412"/>
      <c r="J665" s="412"/>
      <c r="K665" s="414"/>
      <c r="L665" s="416"/>
    </row>
    <row r="666" spans="1:12" ht="18" customHeight="1" x14ac:dyDescent="0.3">
      <c r="A666" s="412" t="s">
        <v>79</v>
      </c>
      <c r="B666" s="412"/>
      <c r="C666" s="413" t="str">
        <f>'전체 훈련생 평가 채점표'!B24</f>
        <v>정나현</v>
      </c>
      <c r="D666" s="413" t="s">
        <v>21</v>
      </c>
      <c r="E666" s="418" t="str">
        <f>VLOOKUP('전체 훈련생 평가 채점표'!$L$2,'기초데이타(작성필히)'!$A$5:$P$19,10)</f>
        <v>21.11.11~21.11.24</v>
      </c>
      <c r="F666" s="419"/>
      <c r="G666" s="420"/>
      <c r="H666" s="60" t="s">
        <v>80</v>
      </c>
      <c r="I666" s="61" t="s">
        <v>22</v>
      </c>
      <c r="J666" s="424" t="s">
        <v>81</v>
      </c>
      <c r="K666" s="425"/>
      <c r="L666" s="426"/>
    </row>
    <row r="667" spans="1:12" ht="18" customHeight="1" x14ac:dyDescent="0.3">
      <c r="A667" s="319"/>
      <c r="B667" s="319"/>
      <c r="C667" s="417"/>
      <c r="D667" s="417"/>
      <c r="E667" s="421"/>
      <c r="F667" s="422"/>
      <c r="G667" s="423"/>
      <c r="H667" s="62" t="s">
        <v>113</v>
      </c>
      <c r="I667" s="62">
        <f>VLOOKUP('전체 훈련생 평가 채점표'!$L$2,'기초데이타(작성필히)'!$A$5:$P$19,11)</f>
        <v>70</v>
      </c>
      <c r="J667" s="314" t="s">
        <v>113</v>
      </c>
      <c r="K667" s="314"/>
      <c r="L667" s="427"/>
    </row>
    <row r="668" spans="1:12" ht="18" customHeight="1" x14ac:dyDescent="0.3"/>
    <row r="669" spans="1:12" ht="18" customHeight="1" x14ac:dyDescent="0.3">
      <c r="A669" s="428" t="s">
        <v>82</v>
      </c>
      <c r="B669" s="429"/>
      <c r="C669" s="429"/>
      <c r="D669" s="431" t="s">
        <v>83</v>
      </c>
      <c r="E669" s="431"/>
      <c r="F669" s="431"/>
      <c r="G669" s="433" t="s">
        <v>84</v>
      </c>
      <c r="H669" s="434"/>
      <c r="I669" s="434"/>
      <c r="J669" s="434"/>
      <c r="K669" s="434"/>
      <c r="L669" s="435"/>
    </row>
    <row r="670" spans="1:12" ht="18" customHeight="1" x14ac:dyDescent="0.3">
      <c r="A670" s="430"/>
      <c r="B670" s="430"/>
      <c r="C670" s="430"/>
      <c r="D670" s="432"/>
      <c r="E670" s="432"/>
      <c r="F670" s="432"/>
      <c r="G670" s="436"/>
      <c r="H670" s="437"/>
      <c r="I670" s="437"/>
      <c r="J670" s="437"/>
      <c r="K670" s="437"/>
      <c r="L670" s="438"/>
    </row>
    <row r="671" spans="1:12" ht="18" customHeight="1" x14ac:dyDescent="0.3">
      <c r="A671" s="383" t="str">
        <f>$C666</f>
        <v>정나현</v>
      </c>
      <c r="B671" s="439"/>
      <c r="C671" s="439"/>
      <c r="D671" s="441" t="str">
        <f>$H664</f>
        <v>이창훈</v>
      </c>
      <c r="E671" s="443" t="s">
        <v>25</v>
      </c>
      <c r="F671" s="444"/>
      <c r="G671" s="382" t="s">
        <v>85</v>
      </c>
      <c r="H671" s="447">
        <f>VLOOKUP('전체 훈련생 평가 채점표'!$L$2,'기초데이타(작성필히)'!$A$5:$P$19,13)</f>
        <v>44524</v>
      </c>
      <c r="I671" s="448"/>
      <c r="J671" s="448"/>
      <c r="K671" s="449"/>
      <c r="L671" s="391" t="s">
        <v>86</v>
      </c>
    </row>
    <row r="672" spans="1:12" ht="18" customHeight="1" x14ac:dyDescent="0.3">
      <c r="A672" s="440"/>
      <c r="B672" s="440"/>
      <c r="C672" s="440"/>
      <c r="D672" s="442"/>
      <c r="E672" s="445"/>
      <c r="F672" s="446"/>
      <c r="G672" s="384"/>
      <c r="H672" s="450"/>
      <c r="I672" s="451"/>
      <c r="J672" s="451"/>
      <c r="K672" s="452"/>
      <c r="L672" s="392"/>
    </row>
    <row r="673" spans="1:12" ht="18" customHeight="1" x14ac:dyDescent="0.3">
      <c r="A673" s="380" t="s">
        <v>87</v>
      </c>
      <c r="B673" s="380"/>
      <c r="C673" s="380"/>
      <c r="D673" s="382" t="str">
        <f>$C664</f>
        <v>[0803020911_18v3]</v>
      </c>
      <c r="E673" s="382"/>
      <c r="F673" s="382"/>
      <c r="G673" s="382" t="s">
        <v>88</v>
      </c>
      <c r="H673" s="385"/>
      <c r="I673" s="386"/>
      <c r="J673" s="386"/>
      <c r="K673" s="387"/>
      <c r="L673" s="391" t="s">
        <v>86</v>
      </c>
    </row>
    <row r="674" spans="1:12" ht="18" customHeight="1" x14ac:dyDescent="0.3">
      <c r="A674" s="381"/>
      <c r="B674" s="381"/>
      <c r="C674" s="381"/>
      <c r="D674" s="383"/>
      <c r="E674" s="383"/>
      <c r="F674" s="383"/>
      <c r="G674" s="384"/>
      <c r="H674" s="388"/>
      <c r="I674" s="389"/>
      <c r="J674" s="389"/>
      <c r="K674" s="390"/>
      <c r="L674" s="392"/>
    </row>
    <row r="675" spans="1:12" ht="18" customHeight="1" x14ac:dyDescent="0.3">
      <c r="A675" s="393" t="str">
        <f>VLOOKUP('전체 훈련생 평가 채점표'!$L$2,'기초데이타(작성필히)'!$A$5:$P$19,7)</f>
        <v>스타일가이드제작 및 시안디자인 제작2</v>
      </c>
      <c r="B675" s="393"/>
      <c r="C675" s="393"/>
      <c r="D675" s="383" t="str">
        <f>$C665</f>
        <v xml:space="preserve">  스마트문화앱UX설계</v>
      </c>
      <c r="E675" s="383"/>
      <c r="F675" s="383"/>
      <c r="G675" s="382" t="s">
        <v>89</v>
      </c>
      <c r="H675" s="385"/>
      <c r="I675" s="386"/>
      <c r="J675" s="386"/>
      <c r="K675" s="387"/>
      <c r="L675" s="391" t="s">
        <v>86</v>
      </c>
    </row>
    <row r="676" spans="1:12" ht="18" customHeight="1" x14ac:dyDescent="0.3">
      <c r="A676" s="394"/>
      <c r="B676" s="394"/>
      <c r="C676" s="394"/>
      <c r="D676" s="384"/>
      <c r="E676" s="384"/>
      <c r="F676" s="384"/>
      <c r="G676" s="384"/>
      <c r="H676" s="388"/>
      <c r="I676" s="389"/>
      <c r="J676" s="389"/>
      <c r="K676" s="390"/>
      <c r="L676" s="392"/>
    </row>
    <row r="677" spans="1:12" ht="18" customHeight="1" x14ac:dyDescent="0.3">
      <c r="A677" s="395" t="s">
        <v>90</v>
      </c>
      <c r="B677" s="396"/>
      <c r="C677" s="396"/>
      <c r="D677" s="396"/>
      <c r="E677" s="396"/>
      <c r="F677" s="397"/>
      <c r="G677" s="398" t="s">
        <v>91</v>
      </c>
      <c r="H677" s="399"/>
      <c r="I677" s="399"/>
      <c r="J677" s="399"/>
      <c r="K677" s="399"/>
      <c r="L677" s="400"/>
    </row>
    <row r="678" spans="1:12" ht="18" customHeight="1" x14ac:dyDescent="0.3">
      <c r="A678" s="395"/>
      <c r="B678" s="396"/>
      <c r="C678" s="396"/>
      <c r="D678" s="396"/>
      <c r="E678" s="396"/>
      <c r="F678" s="397"/>
      <c r="G678" s="401"/>
      <c r="H678" s="402"/>
      <c r="I678" s="402"/>
      <c r="J678" s="402"/>
      <c r="K678" s="402"/>
      <c r="L678" s="403"/>
    </row>
    <row r="679" spans="1:12" ht="18" customHeight="1" x14ac:dyDescent="0.3">
      <c r="A679" s="341" t="s">
        <v>126</v>
      </c>
      <c r="B679" s="342"/>
      <c r="C679" s="342"/>
      <c r="D679" s="342"/>
      <c r="E679" s="342"/>
      <c r="F679" s="343"/>
      <c r="G679" s="404" t="s">
        <v>92</v>
      </c>
      <c r="H679" s="406" t="s">
        <v>93</v>
      </c>
      <c r="I679" s="407"/>
      <c r="J679" s="407"/>
      <c r="K679" s="407"/>
      <c r="L679" s="408"/>
    </row>
    <row r="680" spans="1:12" ht="18" customHeight="1" x14ac:dyDescent="0.3">
      <c r="A680" s="341"/>
      <c r="B680" s="342"/>
      <c r="C680" s="342"/>
      <c r="D680" s="342"/>
      <c r="E680" s="342"/>
      <c r="F680" s="343"/>
      <c r="G680" s="405"/>
      <c r="H680" s="409"/>
      <c r="I680" s="410"/>
      <c r="J680" s="410"/>
      <c r="K680" s="410"/>
      <c r="L680" s="411"/>
    </row>
    <row r="681" spans="1:12" ht="18" customHeight="1" x14ac:dyDescent="0.3">
      <c r="A681" s="341"/>
      <c r="B681" s="342"/>
      <c r="C681" s="342"/>
      <c r="D681" s="342"/>
      <c r="E681" s="342"/>
      <c r="F681" s="343"/>
      <c r="G681" s="323" t="str">
        <f>IF($J699&gt;=90,"○","")</f>
        <v/>
      </c>
      <c r="H681" s="326" t="s">
        <v>94</v>
      </c>
      <c r="I681" s="327"/>
      <c r="J681" s="327"/>
      <c r="K681" s="327"/>
      <c r="L681" s="328"/>
    </row>
    <row r="682" spans="1:12" ht="18" customHeight="1" x14ac:dyDescent="0.3">
      <c r="A682" s="341"/>
      <c r="B682" s="342"/>
      <c r="C682" s="342"/>
      <c r="D682" s="342"/>
      <c r="E682" s="342"/>
      <c r="F682" s="343"/>
      <c r="G682" s="324"/>
      <c r="H682" s="329"/>
      <c r="I682" s="330"/>
      <c r="J682" s="330"/>
      <c r="K682" s="330"/>
      <c r="L682" s="331"/>
    </row>
    <row r="683" spans="1:12" ht="18" customHeight="1" x14ac:dyDescent="0.3">
      <c r="A683" s="341"/>
      <c r="B683" s="342"/>
      <c r="C683" s="342"/>
      <c r="D683" s="342"/>
      <c r="E683" s="342"/>
      <c r="F683" s="343"/>
      <c r="G683" s="325"/>
      <c r="H683" s="332"/>
      <c r="I683" s="333"/>
      <c r="J683" s="333"/>
      <c r="K683" s="333"/>
      <c r="L683" s="334"/>
    </row>
    <row r="684" spans="1:12" ht="18" customHeight="1" x14ac:dyDescent="0.3">
      <c r="A684" s="341"/>
      <c r="B684" s="342"/>
      <c r="C684" s="342"/>
      <c r="D684" s="342"/>
      <c r="E684" s="342"/>
      <c r="F684" s="343"/>
      <c r="G684" s="323" t="str">
        <f>IF(AND($J699&lt;=89.9,$J699&gt;=80),"○","")</f>
        <v/>
      </c>
      <c r="H684" s="326" t="s">
        <v>95</v>
      </c>
      <c r="I684" s="327"/>
      <c r="J684" s="327"/>
      <c r="K684" s="327"/>
      <c r="L684" s="328"/>
    </row>
    <row r="685" spans="1:12" ht="18" customHeight="1" x14ac:dyDescent="0.3">
      <c r="A685" s="341"/>
      <c r="B685" s="342"/>
      <c r="C685" s="342"/>
      <c r="D685" s="342"/>
      <c r="E685" s="342"/>
      <c r="F685" s="343"/>
      <c r="G685" s="324"/>
      <c r="H685" s="329"/>
      <c r="I685" s="330"/>
      <c r="J685" s="330"/>
      <c r="K685" s="330"/>
      <c r="L685" s="331"/>
    </row>
    <row r="686" spans="1:12" ht="18" customHeight="1" x14ac:dyDescent="0.3">
      <c r="A686" s="341"/>
      <c r="B686" s="342"/>
      <c r="C686" s="342"/>
      <c r="D686" s="342"/>
      <c r="E686" s="342"/>
      <c r="F686" s="343"/>
      <c r="G686" s="325"/>
      <c r="H686" s="332"/>
      <c r="I686" s="333"/>
      <c r="J686" s="333"/>
      <c r="K686" s="333"/>
      <c r="L686" s="334"/>
    </row>
    <row r="687" spans="1:12" ht="18" customHeight="1" x14ac:dyDescent="0.3">
      <c r="A687" s="341"/>
      <c r="B687" s="342"/>
      <c r="C687" s="342"/>
      <c r="D687" s="342"/>
      <c r="E687" s="342"/>
      <c r="F687" s="343"/>
      <c r="G687" s="323" t="str">
        <f>IF(AND($J699&lt;=79.9,$J699&gt;=70),"○","")</f>
        <v>○</v>
      </c>
      <c r="H687" s="326" t="s">
        <v>96</v>
      </c>
      <c r="I687" s="327"/>
      <c r="J687" s="327"/>
      <c r="K687" s="327"/>
      <c r="L687" s="328"/>
    </row>
    <row r="688" spans="1:12" ht="18" customHeight="1" x14ac:dyDescent="0.3">
      <c r="A688" s="341"/>
      <c r="B688" s="342"/>
      <c r="C688" s="342"/>
      <c r="D688" s="342"/>
      <c r="E688" s="342"/>
      <c r="F688" s="343"/>
      <c r="G688" s="324"/>
      <c r="H688" s="329"/>
      <c r="I688" s="330"/>
      <c r="J688" s="330"/>
      <c r="K688" s="330"/>
      <c r="L688" s="331"/>
    </row>
    <row r="689" spans="1:12" ht="18" customHeight="1" x14ac:dyDescent="0.3">
      <c r="A689" s="344" t="str">
        <f>"- "&amp;'전체 훈련생 평가 채점표'!$G$8</f>
        <v>- 0</v>
      </c>
      <c r="B689" s="345"/>
      <c r="C689" s="345"/>
      <c r="D689" s="345"/>
      <c r="E689" s="345"/>
      <c r="F689" s="346"/>
      <c r="G689" s="325"/>
      <c r="H689" s="332"/>
      <c r="I689" s="333"/>
      <c r="J689" s="333"/>
      <c r="K689" s="333"/>
      <c r="L689" s="334"/>
    </row>
    <row r="690" spans="1:12" ht="18" customHeight="1" x14ac:dyDescent="0.3">
      <c r="A690" s="344" t="str">
        <f>"- "&amp;'전체 훈련생 평가 채점표'!$F$8</f>
        <v>- 포트폴리오</v>
      </c>
      <c r="B690" s="345"/>
      <c r="C690" s="345"/>
      <c r="D690" s="345"/>
      <c r="E690" s="345"/>
      <c r="F690" s="346"/>
      <c r="G690" s="323" t="str">
        <f>IF(AND($J699&lt;=69.9,$J699&gt;=60),"○","")</f>
        <v/>
      </c>
      <c r="H690" s="326" t="s">
        <v>97</v>
      </c>
      <c r="I690" s="327"/>
      <c r="J690" s="327"/>
      <c r="K690" s="327"/>
      <c r="L690" s="328"/>
    </row>
    <row r="691" spans="1:12" ht="18" customHeight="1" x14ac:dyDescent="0.3">
      <c r="A691" s="347"/>
      <c r="B691" s="348"/>
      <c r="C691" s="348"/>
      <c r="D691" s="348"/>
      <c r="E691" s="348"/>
      <c r="F691" s="349"/>
      <c r="G691" s="324"/>
      <c r="H691" s="329"/>
      <c r="I691" s="330"/>
      <c r="J691" s="330"/>
      <c r="K691" s="330"/>
      <c r="L691" s="331"/>
    </row>
    <row r="692" spans="1:12" ht="18" customHeight="1" x14ac:dyDescent="0.3">
      <c r="A692" s="347"/>
      <c r="B692" s="348"/>
      <c r="C692" s="348"/>
      <c r="D692" s="348"/>
      <c r="E692" s="348"/>
      <c r="F692" s="349"/>
      <c r="G692" s="325"/>
      <c r="H692" s="332"/>
      <c r="I692" s="333"/>
      <c r="J692" s="333"/>
      <c r="K692" s="333"/>
      <c r="L692" s="334"/>
    </row>
    <row r="693" spans="1:12" ht="18" customHeight="1" x14ac:dyDescent="0.3">
      <c r="A693" s="347"/>
      <c r="B693" s="348"/>
      <c r="C693" s="348"/>
      <c r="D693" s="348"/>
      <c r="E693" s="348"/>
      <c r="F693" s="349"/>
      <c r="G693" s="323" t="str">
        <f>IF($J699&lt;=59.9,"○","")</f>
        <v/>
      </c>
      <c r="H693" s="326" t="s">
        <v>98</v>
      </c>
      <c r="I693" s="327"/>
      <c r="J693" s="327"/>
      <c r="K693" s="327"/>
      <c r="L693" s="328"/>
    </row>
    <row r="694" spans="1:12" ht="18" customHeight="1" x14ac:dyDescent="0.3">
      <c r="A694" s="347"/>
      <c r="B694" s="348"/>
      <c r="C694" s="348"/>
      <c r="D694" s="348"/>
      <c r="E694" s="348"/>
      <c r="F694" s="349"/>
      <c r="G694" s="324"/>
      <c r="H694" s="329"/>
      <c r="I694" s="330"/>
      <c r="J694" s="330"/>
      <c r="K694" s="330"/>
      <c r="L694" s="331"/>
    </row>
    <row r="695" spans="1:12" ht="18" customHeight="1" x14ac:dyDescent="0.3">
      <c r="A695" s="347"/>
      <c r="B695" s="348"/>
      <c r="C695" s="348"/>
      <c r="D695" s="348"/>
      <c r="E695" s="348"/>
      <c r="F695" s="349"/>
      <c r="G695" s="325"/>
      <c r="H695" s="332"/>
      <c r="I695" s="333"/>
      <c r="J695" s="333"/>
      <c r="K695" s="333"/>
      <c r="L695" s="334"/>
    </row>
    <row r="696" spans="1:12" ht="18" customHeight="1" x14ac:dyDescent="0.3">
      <c r="A696" s="347"/>
      <c r="B696" s="348"/>
      <c r="C696" s="348"/>
      <c r="D696" s="348"/>
      <c r="E696" s="348"/>
      <c r="F696" s="349"/>
      <c r="G696" s="335" t="s">
        <v>99</v>
      </c>
      <c r="H696" s="336"/>
      <c r="I696" s="336"/>
      <c r="J696" s="336"/>
      <c r="K696" s="336"/>
      <c r="L696" s="337"/>
    </row>
    <row r="697" spans="1:12" ht="18" customHeight="1" x14ac:dyDescent="0.3">
      <c r="A697" s="350"/>
      <c r="B697" s="351"/>
      <c r="C697" s="351"/>
      <c r="D697" s="351"/>
      <c r="E697" s="351"/>
      <c r="F697" s="352"/>
      <c r="G697" s="338"/>
      <c r="H697" s="339"/>
      <c r="I697" s="339"/>
      <c r="J697" s="339"/>
      <c r="K697" s="339"/>
      <c r="L697" s="340"/>
    </row>
    <row r="698" spans="1:12" ht="18" customHeight="1" x14ac:dyDescent="0.3">
      <c r="A698" s="353">
        <f>A654</f>
        <v>0</v>
      </c>
      <c r="B698" s="354"/>
      <c r="C698" s="355"/>
      <c r="D698" s="356"/>
      <c r="E698" s="357"/>
      <c r="F698" s="357"/>
      <c r="G698" s="357"/>
      <c r="H698" s="357"/>
      <c r="I698" s="358"/>
      <c r="J698" s="359" t="s">
        <v>125</v>
      </c>
      <c r="K698" s="360"/>
      <c r="L698" s="361"/>
    </row>
    <row r="699" spans="1:12" ht="18" customHeight="1" x14ac:dyDescent="0.3">
      <c r="A699" s="362" t="str">
        <f>A655</f>
        <v>포트폴리오</v>
      </c>
      <c r="B699" s="363"/>
      <c r="C699" s="364"/>
      <c r="D699" s="365">
        <f>'전체 훈련생 평가 채점표'!F24</f>
        <v>78.571428571428569</v>
      </c>
      <c r="E699" s="366"/>
      <c r="F699" s="366"/>
      <c r="G699" s="366"/>
      <c r="H699" s="366"/>
      <c r="I699" s="367"/>
      <c r="J699" s="368">
        <f>IFERROR((D698+D699+D700),0)</f>
        <v>78.571428571428569</v>
      </c>
      <c r="K699" s="369"/>
      <c r="L699" s="370"/>
    </row>
    <row r="700" spans="1:12" ht="18" customHeight="1" x14ac:dyDescent="0.3">
      <c r="A700" s="374">
        <f>A656</f>
        <v>0</v>
      </c>
      <c r="B700" s="375"/>
      <c r="C700" s="376"/>
      <c r="D700" s="377">
        <f>'전체 훈련생 평가 채점표'!G24</f>
        <v>0</v>
      </c>
      <c r="E700" s="378"/>
      <c r="F700" s="378"/>
      <c r="G700" s="378"/>
      <c r="H700" s="378"/>
      <c r="I700" s="379"/>
      <c r="J700" s="371"/>
      <c r="K700" s="372"/>
      <c r="L700" s="373"/>
    </row>
    <row r="701" spans="1:12" ht="18" customHeight="1" x14ac:dyDescent="0.3">
      <c r="A701" s="303" t="s">
        <v>11</v>
      </c>
      <c r="B701" s="304"/>
      <c r="C701" s="304"/>
      <c r="D701" s="304"/>
      <c r="E701" s="304"/>
      <c r="F701" s="304"/>
      <c r="G701" s="304"/>
      <c r="H701" s="304"/>
      <c r="I701" s="304"/>
      <c r="J701" s="304"/>
      <c r="K701" s="304"/>
      <c r="L701" s="305"/>
    </row>
    <row r="702" spans="1:12" ht="18" customHeight="1" x14ac:dyDescent="0.3">
      <c r="A702" s="306" t="s">
        <v>100</v>
      </c>
      <c r="B702" s="307"/>
      <c r="C702" s="307"/>
      <c r="D702" s="307"/>
      <c r="E702" s="307"/>
      <c r="F702" s="307"/>
      <c r="G702" s="307"/>
      <c r="H702" s="307"/>
      <c r="I702" s="307"/>
      <c r="J702" s="307"/>
      <c r="K702" s="307"/>
      <c r="L702" s="308"/>
    </row>
    <row r="703" spans="1:12" ht="18" customHeight="1" x14ac:dyDescent="0.3">
      <c r="A703" s="309" t="s">
        <v>92</v>
      </c>
      <c r="B703" s="309"/>
      <c r="C703" s="309"/>
      <c r="D703" s="310" t="s">
        <v>101</v>
      </c>
      <c r="E703" s="311"/>
      <c r="F703" s="310" t="s">
        <v>102</v>
      </c>
      <c r="G703" s="312"/>
      <c r="H703" s="311"/>
      <c r="I703" s="313">
        <f>$J699</f>
        <v>78.571428571428569</v>
      </c>
      <c r="J703" s="313"/>
      <c r="K703" s="315" t="s">
        <v>103</v>
      </c>
      <c r="L703" s="316"/>
    </row>
    <row r="704" spans="1:12" ht="18" customHeight="1" x14ac:dyDescent="0.3">
      <c r="A704" s="319" t="s">
        <v>104</v>
      </c>
      <c r="B704" s="319"/>
      <c r="C704" s="319"/>
      <c r="D704" s="320" t="s">
        <v>105</v>
      </c>
      <c r="E704" s="321"/>
      <c r="F704" s="320" t="s">
        <v>106</v>
      </c>
      <c r="G704" s="322"/>
      <c r="H704" s="321"/>
      <c r="I704" s="314"/>
      <c r="J704" s="314"/>
      <c r="K704" s="317"/>
      <c r="L704" s="318"/>
    </row>
    <row r="705" spans="1:12" ht="21.95" customHeight="1" x14ac:dyDescent="0.3">
      <c r="A705" s="453" t="str">
        <f>MID(VLOOKUP('전체 훈련생 평가 채점표'!$L$2,'기초데이타(작성필히)'!$A$5:$P$19,9),18,50)&amp;" 수행평가"</f>
        <v xml:space="preserve">  스마트문화앱UX설계 수행평가</v>
      </c>
      <c r="B705" s="453"/>
      <c r="C705" s="453"/>
      <c r="D705" s="453"/>
      <c r="E705" s="453"/>
      <c r="F705" s="453"/>
      <c r="G705" s="453"/>
      <c r="H705" s="453"/>
      <c r="I705" s="453"/>
      <c r="J705" s="453"/>
      <c r="K705" s="453"/>
      <c r="L705" s="453"/>
    </row>
    <row r="706" spans="1:12" ht="18" customHeight="1" x14ac:dyDescent="0.3">
      <c r="A706" s="309" t="s">
        <v>16</v>
      </c>
      <c r="B706" s="454">
        <f>VLOOKUP('전체 훈련생 평가 채점표'!$L$2,'기초데이타(작성필히)'!$A$5:$P$19,3)</f>
        <v>2021</v>
      </c>
      <c r="C706" s="454" t="s">
        <v>17</v>
      </c>
      <c r="D706" s="455" t="str">
        <f>VLOOKUP('전체 훈련생 평가 채점표'!$L$2,'기초데이타(작성필히)'!$A$5:$P$19,4)</f>
        <v>[디지털디자인]반응형 웹디자인(UIUX) &amp; 웹퍼블리셔 디지털 실무 양성과정 A-5</v>
      </c>
      <c r="E706" s="455"/>
      <c r="F706" s="455"/>
      <c r="G706" s="454" t="s">
        <v>18</v>
      </c>
      <c r="H706" s="359" t="str">
        <f>VLOOKUP('전체 훈련생 평가 채점표'!$L$2,'기초데이타(작성필히)'!$A$5:$P$19,5)</f>
        <v>21.08.31 ~ 22.02.07</v>
      </c>
      <c r="I706" s="360"/>
      <c r="J706" s="361"/>
      <c r="K706" s="460" t="s">
        <v>78</v>
      </c>
      <c r="L706" s="309" t="str">
        <f>VLOOKUP('전체 훈련생 평가 채점표'!$L$2,'기초데이타(작성필히)'!$A$5:$P$19,6)</f>
        <v>760H</v>
      </c>
    </row>
    <row r="707" spans="1:12" ht="18" customHeight="1" x14ac:dyDescent="0.3">
      <c r="A707" s="412"/>
      <c r="B707" s="413"/>
      <c r="C707" s="413"/>
      <c r="D707" s="456"/>
      <c r="E707" s="456"/>
      <c r="F707" s="456"/>
      <c r="G707" s="413"/>
      <c r="H707" s="457"/>
      <c r="I707" s="458"/>
      <c r="J707" s="459"/>
      <c r="K707" s="461"/>
      <c r="L707" s="412"/>
    </row>
    <row r="708" spans="1:12" ht="18" customHeight="1" x14ac:dyDescent="0.3">
      <c r="A708" s="412" t="s">
        <v>23</v>
      </c>
      <c r="B708" s="412"/>
      <c r="C708" s="412" t="str">
        <f>LEFT(VLOOKUP('전체 훈련생 평가 채점표'!$L$2,'기초데이타(작성필히)'!$A$5:$P$19,9),17)</f>
        <v>[0803020911_18v3]</v>
      </c>
      <c r="D708" s="412"/>
      <c r="E708" s="412"/>
      <c r="F708" s="412"/>
      <c r="G708" s="413" t="s">
        <v>24</v>
      </c>
      <c r="H708" s="412" t="str">
        <f>VLOOKUP('전체 훈련생 평가 채점표'!$L$2,'기초데이타(작성필히)'!$A$5:$P$19,12)</f>
        <v>이창훈</v>
      </c>
      <c r="I708" s="412"/>
      <c r="J708" s="412"/>
      <c r="K708" s="414"/>
      <c r="L708" s="415" t="s">
        <v>25</v>
      </c>
    </row>
    <row r="709" spans="1:12" ht="18" customHeight="1" x14ac:dyDescent="0.3">
      <c r="A709" s="412"/>
      <c r="B709" s="412"/>
      <c r="C709" s="412" t="str">
        <f>MID(VLOOKUP('전체 훈련생 평가 채점표'!$L$2,'기초데이타(작성필히)'!$A$5:$P$19,9),18,50)</f>
        <v xml:space="preserve">  스마트문화앱UX설계</v>
      </c>
      <c r="D709" s="412"/>
      <c r="E709" s="412"/>
      <c r="F709" s="412"/>
      <c r="G709" s="413"/>
      <c r="H709" s="412"/>
      <c r="I709" s="412"/>
      <c r="J709" s="412"/>
      <c r="K709" s="414"/>
      <c r="L709" s="416"/>
    </row>
    <row r="710" spans="1:12" ht="18" customHeight="1" x14ac:dyDescent="0.3">
      <c r="A710" s="412" t="s">
        <v>79</v>
      </c>
      <c r="B710" s="412"/>
      <c r="C710" s="413" t="str">
        <f>'전체 훈련생 평가 채점표'!B25</f>
        <v>조유진</v>
      </c>
      <c r="D710" s="413" t="s">
        <v>21</v>
      </c>
      <c r="E710" s="418" t="str">
        <f>VLOOKUP('전체 훈련생 평가 채점표'!$L$2,'기초데이타(작성필히)'!$A$5:$P$19,10)</f>
        <v>21.11.11~21.11.24</v>
      </c>
      <c r="F710" s="419"/>
      <c r="G710" s="420"/>
      <c r="H710" s="60" t="s">
        <v>80</v>
      </c>
      <c r="I710" s="61" t="s">
        <v>22</v>
      </c>
      <c r="J710" s="424" t="s">
        <v>81</v>
      </c>
      <c r="K710" s="425"/>
      <c r="L710" s="426"/>
    </row>
    <row r="711" spans="1:12" ht="18" customHeight="1" x14ac:dyDescent="0.3">
      <c r="A711" s="319"/>
      <c r="B711" s="319"/>
      <c r="C711" s="417"/>
      <c r="D711" s="417"/>
      <c r="E711" s="421"/>
      <c r="F711" s="422"/>
      <c r="G711" s="423"/>
      <c r="H711" s="62" t="s">
        <v>113</v>
      </c>
      <c r="I711" s="62">
        <f>VLOOKUP('전체 훈련생 평가 채점표'!$L$2,'기초데이타(작성필히)'!$A$5:$P$19,11)</f>
        <v>70</v>
      </c>
      <c r="J711" s="314" t="s">
        <v>113</v>
      </c>
      <c r="K711" s="314"/>
      <c r="L711" s="427"/>
    </row>
    <row r="712" spans="1:12" ht="18" customHeight="1" x14ac:dyDescent="0.3"/>
    <row r="713" spans="1:12" ht="18" customHeight="1" x14ac:dyDescent="0.3">
      <c r="A713" s="428" t="s">
        <v>82</v>
      </c>
      <c r="B713" s="429"/>
      <c r="C713" s="429"/>
      <c r="D713" s="431" t="s">
        <v>83</v>
      </c>
      <c r="E713" s="431"/>
      <c r="F713" s="431"/>
      <c r="G713" s="433" t="s">
        <v>84</v>
      </c>
      <c r="H713" s="434"/>
      <c r="I713" s="434"/>
      <c r="J713" s="434"/>
      <c r="K713" s="434"/>
      <c r="L713" s="435"/>
    </row>
    <row r="714" spans="1:12" ht="18" customHeight="1" x14ac:dyDescent="0.3">
      <c r="A714" s="430"/>
      <c r="B714" s="430"/>
      <c r="C714" s="430"/>
      <c r="D714" s="432"/>
      <c r="E714" s="432"/>
      <c r="F714" s="432"/>
      <c r="G714" s="436"/>
      <c r="H714" s="437"/>
      <c r="I714" s="437"/>
      <c r="J714" s="437"/>
      <c r="K714" s="437"/>
      <c r="L714" s="438"/>
    </row>
    <row r="715" spans="1:12" ht="18" customHeight="1" x14ac:dyDescent="0.3">
      <c r="A715" s="383" t="str">
        <f>$C710</f>
        <v>조유진</v>
      </c>
      <c r="B715" s="439"/>
      <c r="C715" s="439"/>
      <c r="D715" s="441" t="str">
        <f>$H708</f>
        <v>이창훈</v>
      </c>
      <c r="E715" s="443" t="s">
        <v>25</v>
      </c>
      <c r="F715" s="444"/>
      <c r="G715" s="382" t="s">
        <v>85</v>
      </c>
      <c r="H715" s="447">
        <f>VLOOKUP('전체 훈련생 평가 채점표'!$L$2,'기초데이타(작성필히)'!$A$5:$P$19,13)</f>
        <v>44524</v>
      </c>
      <c r="I715" s="448"/>
      <c r="J715" s="448"/>
      <c r="K715" s="449"/>
      <c r="L715" s="391" t="s">
        <v>86</v>
      </c>
    </row>
    <row r="716" spans="1:12" ht="18" customHeight="1" x14ac:dyDescent="0.3">
      <c r="A716" s="440"/>
      <c r="B716" s="440"/>
      <c r="C716" s="440"/>
      <c r="D716" s="442"/>
      <c r="E716" s="445"/>
      <c r="F716" s="446"/>
      <c r="G716" s="384"/>
      <c r="H716" s="450"/>
      <c r="I716" s="451"/>
      <c r="J716" s="451"/>
      <c r="K716" s="452"/>
      <c r="L716" s="392"/>
    </row>
    <row r="717" spans="1:12" ht="18" customHeight="1" x14ac:dyDescent="0.3">
      <c r="A717" s="380" t="s">
        <v>87</v>
      </c>
      <c r="B717" s="380"/>
      <c r="C717" s="380"/>
      <c r="D717" s="382" t="str">
        <f>$C708</f>
        <v>[0803020911_18v3]</v>
      </c>
      <c r="E717" s="382"/>
      <c r="F717" s="382"/>
      <c r="G717" s="382" t="s">
        <v>88</v>
      </c>
      <c r="H717" s="385"/>
      <c r="I717" s="386"/>
      <c r="J717" s="386"/>
      <c r="K717" s="387"/>
      <c r="L717" s="391" t="s">
        <v>86</v>
      </c>
    </row>
    <row r="718" spans="1:12" ht="18" customHeight="1" x14ac:dyDescent="0.3">
      <c r="A718" s="381"/>
      <c r="B718" s="381"/>
      <c r="C718" s="381"/>
      <c r="D718" s="383"/>
      <c r="E718" s="383"/>
      <c r="F718" s="383"/>
      <c r="G718" s="384"/>
      <c r="H718" s="388"/>
      <c r="I718" s="389"/>
      <c r="J718" s="389"/>
      <c r="K718" s="390"/>
      <c r="L718" s="392"/>
    </row>
    <row r="719" spans="1:12" ht="18" customHeight="1" x14ac:dyDescent="0.3">
      <c r="A719" s="393" t="str">
        <f>VLOOKUP('전체 훈련생 평가 채점표'!$L$2,'기초데이타(작성필히)'!$A$5:$P$19,7)</f>
        <v>스타일가이드제작 및 시안디자인 제작2</v>
      </c>
      <c r="B719" s="393"/>
      <c r="C719" s="393"/>
      <c r="D719" s="383" t="str">
        <f>$C709</f>
        <v xml:space="preserve">  스마트문화앱UX설계</v>
      </c>
      <c r="E719" s="383"/>
      <c r="F719" s="383"/>
      <c r="G719" s="382" t="s">
        <v>89</v>
      </c>
      <c r="H719" s="385"/>
      <c r="I719" s="386"/>
      <c r="J719" s="386"/>
      <c r="K719" s="387"/>
      <c r="L719" s="391" t="s">
        <v>86</v>
      </c>
    </row>
    <row r="720" spans="1:12" ht="18" customHeight="1" x14ac:dyDescent="0.3">
      <c r="A720" s="394"/>
      <c r="B720" s="394"/>
      <c r="C720" s="394"/>
      <c r="D720" s="384"/>
      <c r="E720" s="384"/>
      <c r="F720" s="384"/>
      <c r="G720" s="384"/>
      <c r="H720" s="388"/>
      <c r="I720" s="389"/>
      <c r="J720" s="389"/>
      <c r="K720" s="390"/>
      <c r="L720" s="392"/>
    </row>
    <row r="721" spans="1:12" ht="18" customHeight="1" x14ac:dyDescent="0.3">
      <c r="A721" s="395" t="s">
        <v>90</v>
      </c>
      <c r="B721" s="396"/>
      <c r="C721" s="396"/>
      <c r="D721" s="396"/>
      <c r="E721" s="396"/>
      <c r="F721" s="397"/>
      <c r="G721" s="398" t="s">
        <v>91</v>
      </c>
      <c r="H721" s="399"/>
      <c r="I721" s="399"/>
      <c r="J721" s="399"/>
      <c r="K721" s="399"/>
      <c r="L721" s="400"/>
    </row>
    <row r="722" spans="1:12" ht="18" customHeight="1" x14ac:dyDescent="0.3">
      <c r="A722" s="395"/>
      <c r="B722" s="396"/>
      <c r="C722" s="396"/>
      <c r="D722" s="396"/>
      <c r="E722" s="396"/>
      <c r="F722" s="397"/>
      <c r="G722" s="401"/>
      <c r="H722" s="402"/>
      <c r="I722" s="402"/>
      <c r="J722" s="402"/>
      <c r="K722" s="402"/>
      <c r="L722" s="403"/>
    </row>
    <row r="723" spans="1:12" ht="18" customHeight="1" x14ac:dyDescent="0.3">
      <c r="A723" s="341" t="s">
        <v>126</v>
      </c>
      <c r="B723" s="342"/>
      <c r="C723" s="342"/>
      <c r="D723" s="342"/>
      <c r="E723" s="342"/>
      <c r="F723" s="343"/>
      <c r="G723" s="404" t="s">
        <v>92</v>
      </c>
      <c r="H723" s="406" t="s">
        <v>93</v>
      </c>
      <c r="I723" s="407"/>
      <c r="J723" s="407"/>
      <c r="K723" s="407"/>
      <c r="L723" s="408"/>
    </row>
    <row r="724" spans="1:12" ht="18" customHeight="1" x14ac:dyDescent="0.3">
      <c r="A724" s="341"/>
      <c r="B724" s="342"/>
      <c r="C724" s="342"/>
      <c r="D724" s="342"/>
      <c r="E724" s="342"/>
      <c r="F724" s="343"/>
      <c r="G724" s="405"/>
      <c r="H724" s="409"/>
      <c r="I724" s="410"/>
      <c r="J724" s="410"/>
      <c r="K724" s="410"/>
      <c r="L724" s="411"/>
    </row>
    <row r="725" spans="1:12" ht="18" customHeight="1" x14ac:dyDescent="0.3">
      <c r="A725" s="341"/>
      <c r="B725" s="342"/>
      <c r="C725" s="342"/>
      <c r="D725" s="342"/>
      <c r="E725" s="342"/>
      <c r="F725" s="343"/>
      <c r="G725" s="323" t="str">
        <f>IF($J743&gt;=90,"○","")</f>
        <v/>
      </c>
      <c r="H725" s="326" t="s">
        <v>94</v>
      </c>
      <c r="I725" s="327"/>
      <c r="J725" s="327"/>
      <c r="K725" s="327"/>
      <c r="L725" s="328"/>
    </row>
    <row r="726" spans="1:12" ht="18" customHeight="1" x14ac:dyDescent="0.3">
      <c r="A726" s="341"/>
      <c r="B726" s="342"/>
      <c r="C726" s="342"/>
      <c r="D726" s="342"/>
      <c r="E726" s="342"/>
      <c r="F726" s="343"/>
      <c r="G726" s="324"/>
      <c r="H726" s="329"/>
      <c r="I726" s="330"/>
      <c r="J726" s="330"/>
      <c r="K726" s="330"/>
      <c r="L726" s="331"/>
    </row>
    <row r="727" spans="1:12" ht="18" customHeight="1" x14ac:dyDescent="0.3">
      <c r="A727" s="341"/>
      <c r="B727" s="342"/>
      <c r="C727" s="342"/>
      <c r="D727" s="342"/>
      <c r="E727" s="342"/>
      <c r="F727" s="343"/>
      <c r="G727" s="325"/>
      <c r="H727" s="332"/>
      <c r="I727" s="333"/>
      <c r="J727" s="333"/>
      <c r="K727" s="333"/>
      <c r="L727" s="334"/>
    </row>
    <row r="728" spans="1:12" ht="18" customHeight="1" x14ac:dyDescent="0.3">
      <c r="A728" s="341"/>
      <c r="B728" s="342"/>
      <c r="C728" s="342"/>
      <c r="D728" s="342"/>
      <c r="E728" s="342"/>
      <c r="F728" s="343"/>
      <c r="G728" s="323" t="str">
        <f>IF(AND($J743&lt;=89.9,$J743&gt;=80),"○","")</f>
        <v/>
      </c>
      <c r="H728" s="326" t="s">
        <v>95</v>
      </c>
      <c r="I728" s="327"/>
      <c r="J728" s="327"/>
      <c r="K728" s="327"/>
      <c r="L728" s="328"/>
    </row>
    <row r="729" spans="1:12" ht="18" customHeight="1" x14ac:dyDescent="0.3">
      <c r="A729" s="341"/>
      <c r="B729" s="342"/>
      <c r="C729" s="342"/>
      <c r="D729" s="342"/>
      <c r="E729" s="342"/>
      <c r="F729" s="343"/>
      <c r="G729" s="324"/>
      <c r="H729" s="329"/>
      <c r="I729" s="330"/>
      <c r="J729" s="330"/>
      <c r="K729" s="330"/>
      <c r="L729" s="331"/>
    </row>
    <row r="730" spans="1:12" ht="18" customHeight="1" x14ac:dyDescent="0.3">
      <c r="A730" s="341"/>
      <c r="B730" s="342"/>
      <c r="C730" s="342"/>
      <c r="D730" s="342"/>
      <c r="E730" s="342"/>
      <c r="F730" s="343"/>
      <c r="G730" s="325"/>
      <c r="H730" s="332"/>
      <c r="I730" s="333"/>
      <c r="J730" s="333"/>
      <c r="K730" s="333"/>
      <c r="L730" s="334"/>
    </row>
    <row r="731" spans="1:12" ht="18" customHeight="1" x14ac:dyDescent="0.3">
      <c r="A731" s="341"/>
      <c r="B731" s="342"/>
      <c r="C731" s="342"/>
      <c r="D731" s="342"/>
      <c r="E731" s="342"/>
      <c r="F731" s="343"/>
      <c r="G731" s="323" t="str">
        <f>IF(AND($J743&lt;=79.9,$J743&gt;=70),"○","")</f>
        <v>○</v>
      </c>
      <c r="H731" s="326" t="s">
        <v>96</v>
      </c>
      <c r="I731" s="327"/>
      <c r="J731" s="327"/>
      <c r="K731" s="327"/>
      <c r="L731" s="328"/>
    </row>
    <row r="732" spans="1:12" ht="18" customHeight="1" x14ac:dyDescent="0.3">
      <c r="A732" s="341"/>
      <c r="B732" s="342"/>
      <c r="C732" s="342"/>
      <c r="D732" s="342"/>
      <c r="E732" s="342"/>
      <c r="F732" s="343"/>
      <c r="G732" s="324"/>
      <c r="H732" s="329"/>
      <c r="I732" s="330"/>
      <c r="J732" s="330"/>
      <c r="K732" s="330"/>
      <c r="L732" s="331"/>
    </row>
    <row r="733" spans="1:12" ht="18" customHeight="1" x14ac:dyDescent="0.3">
      <c r="A733" s="344" t="str">
        <f>"- "&amp;'전체 훈련생 평가 채점표'!$G$8</f>
        <v>- 0</v>
      </c>
      <c r="B733" s="345"/>
      <c r="C733" s="345"/>
      <c r="D733" s="345"/>
      <c r="E733" s="345"/>
      <c r="F733" s="346"/>
      <c r="G733" s="325"/>
      <c r="H733" s="332"/>
      <c r="I733" s="333"/>
      <c r="J733" s="333"/>
      <c r="K733" s="333"/>
      <c r="L733" s="334"/>
    </row>
    <row r="734" spans="1:12" ht="18" customHeight="1" x14ac:dyDescent="0.3">
      <c r="A734" s="344" t="str">
        <f>"- "&amp;'전체 훈련생 평가 채점표'!$F$8</f>
        <v>- 포트폴리오</v>
      </c>
      <c r="B734" s="345"/>
      <c r="C734" s="345"/>
      <c r="D734" s="345"/>
      <c r="E734" s="345"/>
      <c r="F734" s="346"/>
      <c r="G734" s="323" t="str">
        <f>IF(AND($J743&lt;=69.9,$J743&gt;=60),"○","")</f>
        <v/>
      </c>
      <c r="H734" s="326" t="s">
        <v>97</v>
      </c>
      <c r="I734" s="327"/>
      <c r="J734" s="327"/>
      <c r="K734" s="327"/>
      <c r="L734" s="328"/>
    </row>
    <row r="735" spans="1:12" ht="18" customHeight="1" x14ac:dyDescent="0.3">
      <c r="A735" s="347"/>
      <c r="B735" s="348"/>
      <c r="C735" s="348"/>
      <c r="D735" s="348"/>
      <c r="E735" s="348"/>
      <c r="F735" s="349"/>
      <c r="G735" s="324"/>
      <c r="H735" s="329"/>
      <c r="I735" s="330"/>
      <c r="J735" s="330"/>
      <c r="K735" s="330"/>
      <c r="L735" s="331"/>
    </row>
    <row r="736" spans="1:12" ht="18" customHeight="1" x14ac:dyDescent="0.3">
      <c r="A736" s="347"/>
      <c r="B736" s="348"/>
      <c r="C736" s="348"/>
      <c r="D736" s="348"/>
      <c r="E736" s="348"/>
      <c r="F736" s="349"/>
      <c r="G736" s="325"/>
      <c r="H736" s="332"/>
      <c r="I736" s="333"/>
      <c r="J736" s="333"/>
      <c r="K736" s="333"/>
      <c r="L736" s="334"/>
    </row>
    <row r="737" spans="1:12" ht="18" customHeight="1" x14ac:dyDescent="0.3">
      <c r="A737" s="347"/>
      <c r="B737" s="348"/>
      <c r="C737" s="348"/>
      <c r="D737" s="348"/>
      <c r="E737" s="348"/>
      <c r="F737" s="349"/>
      <c r="G737" s="323" t="str">
        <f>IF($J743&lt;=59.9,"○","")</f>
        <v/>
      </c>
      <c r="H737" s="326" t="s">
        <v>98</v>
      </c>
      <c r="I737" s="327"/>
      <c r="J737" s="327"/>
      <c r="K737" s="327"/>
      <c r="L737" s="328"/>
    </row>
    <row r="738" spans="1:12" ht="18" customHeight="1" x14ac:dyDescent="0.3">
      <c r="A738" s="347"/>
      <c r="B738" s="348"/>
      <c r="C738" s="348"/>
      <c r="D738" s="348"/>
      <c r="E738" s="348"/>
      <c r="F738" s="349"/>
      <c r="G738" s="324"/>
      <c r="H738" s="329"/>
      <c r="I738" s="330"/>
      <c r="J738" s="330"/>
      <c r="K738" s="330"/>
      <c r="L738" s="331"/>
    </row>
    <row r="739" spans="1:12" ht="18" customHeight="1" x14ac:dyDescent="0.3">
      <c r="A739" s="347"/>
      <c r="B739" s="348"/>
      <c r="C739" s="348"/>
      <c r="D739" s="348"/>
      <c r="E739" s="348"/>
      <c r="F739" s="349"/>
      <c r="G739" s="325"/>
      <c r="H739" s="332"/>
      <c r="I739" s="333"/>
      <c r="J739" s="333"/>
      <c r="K739" s="333"/>
      <c r="L739" s="334"/>
    </row>
    <row r="740" spans="1:12" ht="18" customHeight="1" x14ac:dyDescent="0.3">
      <c r="A740" s="347"/>
      <c r="B740" s="348"/>
      <c r="C740" s="348"/>
      <c r="D740" s="348"/>
      <c r="E740" s="348"/>
      <c r="F740" s="349"/>
      <c r="G740" s="335" t="s">
        <v>99</v>
      </c>
      <c r="H740" s="336"/>
      <c r="I740" s="336"/>
      <c r="J740" s="336"/>
      <c r="K740" s="336"/>
      <c r="L740" s="337"/>
    </row>
    <row r="741" spans="1:12" ht="18" customHeight="1" x14ac:dyDescent="0.3">
      <c r="A741" s="350"/>
      <c r="B741" s="351"/>
      <c r="C741" s="351"/>
      <c r="D741" s="351"/>
      <c r="E741" s="351"/>
      <c r="F741" s="352"/>
      <c r="G741" s="338"/>
      <c r="H741" s="339"/>
      <c r="I741" s="339"/>
      <c r="J741" s="339"/>
      <c r="K741" s="339"/>
      <c r="L741" s="340"/>
    </row>
    <row r="742" spans="1:12" ht="18" customHeight="1" x14ac:dyDescent="0.3">
      <c r="A742" s="353">
        <f>A698</f>
        <v>0</v>
      </c>
      <c r="B742" s="354"/>
      <c r="C742" s="355"/>
      <c r="D742" s="356"/>
      <c r="E742" s="357"/>
      <c r="F742" s="357"/>
      <c r="G742" s="357"/>
      <c r="H742" s="357"/>
      <c r="I742" s="358"/>
      <c r="J742" s="359" t="s">
        <v>125</v>
      </c>
      <c r="K742" s="360"/>
      <c r="L742" s="361"/>
    </row>
    <row r="743" spans="1:12" ht="18" customHeight="1" x14ac:dyDescent="0.3">
      <c r="A743" s="362" t="str">
        <f>A699</f>
        <v>포트폴리오</v>
      </c>
      <c r="B743" s="363"/>
      <c r="C743" s="364"/>
      <c r="D743" s="365">
        <f>'전체 훈련생 평가 채점표'!F25</f>
        <v>78.571428571428569</v>
      </c>
      <c r="E743" s="366"/>
      <c r="F743" s="366"/>
      <c r="G743" s="366"/>
      <c r="H743" s="366"/>
      <c r="I743" s="367"/>
      <c r="J743" s="368">
        <f>IFERROR((D742+D743+D744),0)</f>
        <v>78.571428571428569</v>
      </c>
      <c r="K743" s="369"/>
      <c r="L743" s="370"/>
    </row>
    <row r="744" spans="1:12" ht="18" customHeight="1" x14ac:dyDescent="0.3">
      <c r="A744" s="374">
        <f>A700</f>
        <v>0</v>
      </c>
      <c r="B744" s="375"/>
      <c r="C744" s="376"/>
      <c r="D744" s="377">
        <f>'전체 훈련생 평가 채점표'!G25</f>
        <v>0</v>
      </c>
      <c r="E744" s="378"/>
      <c r="F744" s="378"/>
      <c r="G744" s="378"/>
      <c r="H744" s="378"/>
      <c r="I744" s="379"/>
      <c r="J744" s="371"/>
      <c r="K744" s="372"/>
      <c r="L744" s="373"/>
    </row>
    <row r="745" spans="1:12" ht="18" customHeight="1" x14ac:dyDescent="0.3">
      <c r="A745" s="303" t="s">
        <v>11</v>
      </c>
      <c r="B745" s="304"/>
      <c r="C745" s="304"/>
      <c r="D745" s="304"/>
      <c r="E745" s="304"/>
      <c r="F745" s="304"/>
      <c r="G745" s="304"/>
      <c r="H745" s="304"/>
      <c r="I745" s="304"/>
      <c r="J745" s="304"/>
      <c r="K745" s="304"/>
      <c r="L745" s="305"/>
    </row>
    <row r="746" spans="1:12" ht="18" customHeight="1" x14ac:dyDescent="0.3">
      <c r="A746" s="306" t="s">
        <v>100</v>
      </c>
      <c r="B746" s="307"/>
      <c r="C746" s="307"/>
      <c r="D746" s="307"/>
      <c r="E746" s="307"/>
      <c r="F746" s="307"/>
      <c r="G746" s="307"/>
      <c r="H746" s="307"/>
      <c r="I746" s="307"/>
      <c r="J746" s="307"/>
      <c r="K746" s="307"/>
      <c r="L746" s="308"/>
    </row>
    <row r="747" spans="1:12" ht="18" customHeight="1" x14ac:dyDescent="0.3">
      <c r="A747" s="309" t="s">
        <v>92</v>
      </c>
      <c r="B747" s="309"/>
      <c r="C747" s="309"/>
      <c r="D747" s="310" t="s">
        <v>101</v>
      </c>
      <c r="E747" s="311"/>
      <c r="F747" s="310" t="s">
        <v>102</v>
      </c>
      <c r="G747" s="312"/>
      <c r="H747" s="311"/>
      <c r="I747" s="313">
        <f>$J743</f>
        <v>78.571428571428569</v>
      </c>
      <c r="J747" s="313"/>
      <c r="K747" s="315" t="s">
        <v>103</v>
      </c>
      <c r="L747" s="316"/>
    </row>
    <row r="748" spans="1:12" ht="18" customHeight="1" x14ac:dyDescent="0.3">
      <c r="A748" s="319" t="s">
        <v>104</v>
      </c>
      <c r="B748" s="319"/>
      <c r="C748" s="319"/>
      <c r="D748" s="320" t="s">
        <v>105</v>
      </c>
      <c r="E748" s="321"/>
      <c r="F748" s="320" t="s">
        <v>106</v>
      </c>
      <c r="G748" s="322"/>
      <c r="H748" s="321"/>
      <c r="I748" s="314"/>
      <c r="J748" s="314"/>
      <c r="K748" s="317"/>
      <c r="L748" s="318"/>
    </row>
    <row r="749" spans="1:12" ht="21.95" customHeight="1" x14ac:dyDescent="0.3">
      <c r="A749" s="453" t="str">
        <f>MID(VLOOKUP('전체 훈련생 평가 채점표'!$L$2,'기초데이타(작성필히)'!$A$5:$P$19,9),18,50)&amp;" 수행평가"</f>
        <v xml:space="preserve">  스마트문화앱UX설계 수행평가</v>
      </c>
      <c r="B749" s="453"/>
      <c r="C749" s="453"/>
      <c r="D749" s="453"/>
      <c r="E749" s="453"/>
      <c r="F749" s="453"/>
      <c r="G749" s="453"/>
      <c r="H749" s="453"/>
      <c r="I749" s="453"/>
      <c r="J749" s="453"/>
      <c r="K749" s="453"/>
      <c r="L749" s="453"/>
    </row>
    <row r="750" spans="1:12" ht="18" customHeight="1" x14ac:dyDescent="0.3">
      <c r="A750" s="309" t="s">
        <v>16</v>
      </c>
      <c r="B750" s="454">
        <f>VLOOKUP('전체 훈련생 평가 채점표'!$L$2,'기초데이타(작성필히)'!$A$5:$P$19,3)</f>
        <v>2021</v>
      </c>
      <c r="C750" s="454" t="s">
        <v>17</v>
      </c>
      <c r="D750" s="455" t="str">
        <f>VLOOKUP('전체 훈련생 평가 채점표'!$L$2,'기초데이타(작성필히)'!$A$5:$P$19,4)</f>
        <v>[디지털디자인]반응형 웹디자인(UIUX) &amp; 웹퍼블리셔 디지털 실무 양성과정 A-5</v>
      </c>
      <c r="E750" s="455"/>
      <c r="F750" s="455"/>
      <c r="G750" s="454" t="s">
        <v>18</v>
      </c>
      <c r="H750" s="359" t="str">
        <f>VLOOKUP('전체 훈련생 평가 채점표'!$L$2,'기초데이타(작성필히)'!$A$5:$P$19,5)</f>
        <v>21.08.31 ~ 22.02.07</v>
      </c>
      <c r="I750" s="360"/>
      <c r="J750" s="361"/>
      <c r="K750" s="460" t="s">
        <v>78</v>
      </c>
      <c r="L750" s="309" t="str">
        <f>VLOOKUP('전체 훈련생 평가 채점표'!$L$2,'기초데이타(작성필히)'!$A$5:$P$19,6)</f>
        <v>760H</v>
      </c>
    </row>
    <row r="751" spans="1:12" ht="18" customHeight="1" x14ac:dyDescent="0.3">
      <c r="A751" s="412"/>
      <c r="B751" s="413"/>
      <c r="C751" s="413"/>
      <c r="D751" s="456"/>
      <c r="E751" s="456"/>
      <c r="F751" s="456"/>
      <c r="G751" s="413"/>
      <c r="H751" s="457"/>
      <c r="I751" s="458"/>
      <c r="J751" s="459"/>
      <c r="K751" s="461"/>
      <c r="L751" s="412"/>
    </row>
    <row r="752" spans="1:12" ht="18" customHeight="1" x14ac:dyDescent="0.3">
      <c r="A752" s="412" t="s">
        <v>23</v>
      </c>
      <c r="B752" s="412"/>
      <c r="C752" s="412" t="str">
        <f>LEFT(VLOOKUP('전체 훈련생 평가 채점표'!$L$2,'기초데이타(작성필히)'!$A$5:$P$19,9),17)</f>
        <v>[0803020911_18v3]</v>
      </c>
      <c r="D752" s="412"/>
      <c r="E752" s="412"/>
      <c r="F752" s="412"/>
      <c r="G752" s="413" t="s">
        <v>24</v>
      </c>
      <c r="H752" s="412" t="str">
        <f>VLOOKUP('전체 훈련생 평가 채점표'!$L$2,'기초데이타(작성필히)'!$A$5:$P$19,12)</f>
        <v>이창훈</v>
      </c>
      <c r="I752" s="412"/>
      <c r="J752" s="412"/>
      <c r="K752" s="414"/>
      <c r="L752" s="415" t="s">
        <v>25</v>
      </c>
    </row>
    <row r="753" spans="1:12" ht="18" customHeight="1" x14ac:dyDescent="0.3">
      <c r="A753" s="412"/>
      <c r="B753" s="412"/>
      <c r="C753" s="412" t="str">
        <f>MID(VLOOKUP('전체 훈련생 평가 채점표'!$L$2,'기초데이타(작성필히)'!$A$5:$P$19,9),18,50)</f>
        <v xml:space="preserve">  스마트문화앱UX설계</v>
      </c>
      <c r="D753" s="412"/>
      <c r="E753" s="412"/>
      <c r="F753" s="412"/>
      <c r="G753" s="413"/>
      <c r="H753" s="412"/>
      <c r="I753" s="412"/>
      <c r="J753" s="412"/>
      <c r="K753" s="414"/>
      <c r="L753" s="416"/>
    </row>
    <row r="754" spans="1:12" ht="18" customHeight="1" x14ac:dyDescent="0.3">
      <c r="A754" s="412" t="s">
        <v>79</v>
      </c>
      <c r="B754" s="412"/>
      <c r="C754" s="413" t="str">
        <f>'전체 훈련생 평가 채점표'!B26</f>
        <v>하유정</v>
      </c>
      <c r="D754" s="413" t="s">
        <v>21</v>
      </c>
      <c r="E754" s="418" t="str">
        <f>VLOOKUP('전체 훈련생 평가 채점표'!$L$2,'기초데이타(작성필히)'!$A$5:$P$19,10)</f>
        <v>21.11.11~21.11.24</v>
      </c>
      <c r="F754" s="419"/>
      <c r="G754" s="420"/>
      <c r="H754" s="60" t="s">
        <v>80</v>
      </c>
      <c r="I754" s="61" t="s">
        <v>22</v>
      </c>
      <c r="J754" s="424" t="s">
        <v>81</v>
      </c>
      <c r="K754" s="425"/>
      <c r="L754" s="426"/>
    </row>
    <row r="755" spans="1:12" ht="18" customHeight="1" x14ac:dyDescent="0.3">
      <c r="A755" s="319"/>
      <c r="B755" s="319"/>
      <c r="C755" s="417"/>
      <c r="D755" s="417"/>
      <c r="E755" s="421"/>
      <c r="F755" s="422"/>
      <c r="G755" s="423"/>
      <c r="H755" s="62" t="s">
        <v>113</v>
      </c>
      <c r="I755" s="62">
        <f>VLOOKUP('전체 훈련생 평가 채점표'!$L$2,'기초데이타(작성필히)'!$A$5:$P$19,11)</f>
        <v>70</v>
      </c>
      <c r="J755" s="314" t="s">
        <v>113</v>
      </c>
      <c r="K755" s="314"/>
      <c r="L755" s="427"/>
    </row>
    <row r="756" spans="1:12" ht="18" customHeight="1" x14ac:dyDescent="0.3"/>
    <row r="757" spans="1:12" ht="18" customHeight="1" x14ac:dyDescent="0.3">
      <c r="A757" s="428" t="s">
        <v>82</v>
      </c>
      <c r="B757" s="429"/>
      <c r="C757" s="429"/>
      <c r="D757" s="431" t="s">
        <v>83</v>
      </c>
      <c r="E757" s="431"/>
      <c r="F757" s="431"/>
      <c r="G757" s="433" t="s">
        <v>84</v>
      </c>
      <c r="H757" s="434"/>
      <c r="I757" s="434"/>
      <c r="J757" s="434"/>
      <c r="K757" s="434"/>
      <c r="L757" s="435"/>
    </row>
    <row r="758" spans="1:12" ht="18" customHeight="1" x14ac:dyDescent="0.3">
      <c r="A758" s="430"/>
      <c r="B758" s="430"/>
      <c r="C758" s="430"/>
      <c r="D758" s="432"/>
      <c r="E758" s="432"/>
      <c r="F758" s="432"/>
      <c r="G758" s="436"/>
      <c r="H758" s="437"/>
      <c r="I758" s="437"/>
      <c r="J758" s="437"/>
      <c r="K758" s="437"/>
      <c r="L758" s="438"/>
    </row>
    <row r="759" spans="1:12" ht="18" customHeight="1" x14ac:dyDescent="0.3">
      <c r="A759" s="383" t="str">
        <f>$C754</f>
        <v>하유정</v>
      </c>
      <c r="B759" s="439"/>
      <c r="C759" s="439"/>
      <c r="D759" s="441" t="str">
        <f>$H752</f>
        <v>이창훈</v>
      </c>
      <c r="E759" s="443" t="s">
        <v>25</v>
      </c>
      <c r="F759" s="444"/>
      <c r="G759" s="382" t="s">
        <v>85</v>
      </c>
      <c r="H759" s="447">
        <f>VLOOKUP('전체 훈련생 평가 채점표'!$L$2,'기초데이타(작성필히)'!$A$5:$P$19,13)</f>
        <v>44524</v>
      </c>
      <c r="I759" s="448"/>
      <c r="J759" s="448"/>
      <c r="K759" s="449"/>
      <c r="L759" s="391" t="s">
        <v>86</v>
      </c>
    </row>
    <row r="760" spans="1:12" ht="18" customHeight="1" x14ac:dyDescent="0.3">
      <c r="A760" s="440"/>
      <c r="B760" s="440"/>
      <c r="C760" s="440"/>
      <c r="D760" s="442"/>
      <c r="E760" s="445"/>
      <c r="F760" s="446"/>
      <c r="G760" s="384"/>
      <c r="H760" s="450"/>
      <c r="I760" s="451"/>
      <c r="J760" s="451"/>
      <c r="K760" s="452"/>
      <c r="L760" s="392"/>
    </row>
    <row r="761" spans="1:12" ht="18" customHeight="1" x14ac:dyDescent="0.3">
      <c r="A761" s="380" t="s">
        <v>87</v>
      </c>
      <c r="B761" s="380"/>
      <c r="C761" s="380"/>
      <c r="D761" s="382" t="str">
        <f>$C752</f>
        <v>[0803020911_18v3]</v>
      </c>
      <c r="E761" s="382"/>
      <c r="F761" s="382"/>
      <c r="G761" s="382" t="s">
        <v>88</v>
      </c>
      <c r="H761" s="385"/>
      <c r="I761" s="386"/>
      <c r="J761" s="386"/>
      <c r="K761" s="387"/>
      <c r="L761" s="391" t="s">
        <v>86</v>
      </c>
    </row>
    <row r="762" spans="1:12" ht="18" customHeight="1" x14ac:dyDescent="0.3">
      <c r="A762" s="381"/>
      <c r="B762" s="381"/>
      <c r="C762" s="381"/>
      <c r="D762" s="383"/>
      <c r="E762" s="383"/>
      <c r="F762" s="383"/>
      <c r="G762" s="384"/>
      <c r="H762" s="388"/>
      <c r="I762" s="389"/>
      <c r="J762" s="389"/>
      <c r="K762" s="390"/>
      <c r="L762" s="392"/>
    </row>
    <row r="763" spans="1:12" ht="18" customHeight="1" x14ac:dyDescent="0.3">
      <c r="A763" s="393" t="str">
        <f>VLOOKUP('전체 훈련생 평가 채점표'!$L$2,'기초데이타(작성필히)'!$A$5:$P$19,7)</f>
        <v>스타일가이드제작 및 시안디자인 제작2</v>
      </c>
      <c r="B763" s="393"/>
      <c r="C763" s="393"/>
      <c r="D763" s="383" t="str">
        <f>$C753</f>
        <v xml:space="preserve">  스마트문화앱UX설계</v>
      </c>
      <c r="E763" s="383"/>
      <c r="F763" s="383"/>
      <c r="G763" s="382" t="s">
        <v>89</v>
      </c>
      <c r="H763" s="385"/>
      <c r="I763" s="386"/>
      <c r="J763" s="386"/>
      <c r="K763" s="387"/>
      <c r="L763" s="391" t="s">
        <v>86</v>
      </c>
    </row>
    <row r="764" spans="1:12" ht="18" customHeight="1" x14ac:dyDescent="0.3">
      <c r="A764" s="394"/>
      <c r="B764" s="394"/>
      <c r="C764" s="394"/>
      <c r="D764" s="384"/>
      <c r="E764" s="384"/>
      <c r="F764" s="384"/>
      <c r="G764" s="384"/>
      <c r="H764" s="388"/>
      <c r="I764" s="389"/>
      <c r="J764" s="389"/>
      <c r="K764" s="390"/>
      <c r="L764" s="392"/>
    </row>
    <row r="765" spans="1:12" ht="18" customHeight="1" x14ac:dyDescent="0.3">
      <c r="A765" s="395" t="s">
        <v>90</v>
      </c>
      <c r="B765" s="396"/>
      <c r="C765" s="396"/>
      <c r="D765" s="396"/>
      <c r="E765" s="396"/>
      <c r="F765" s="397"/>
      <c r="G765" s="398" t="s">
        <v>91</v>
      </c>
      <c r="H765" s="399"/>
      <c r="I765" s="399"/>
      <c r="J765" s="399"/>
      <c r="K765" s="399"/>
      <c r="L765" s="400"/>
    </row>
    <row r="766" spans="1:12" ht="18" customHeight="1" x14ac:dyDescent="0.3">
      <c r="A766" s="395"/>
      <c r="B766" s="396"/>
      <c r="C766" s="396"/>
      <c r="D766" s="396"/>
      <c r="E766" s="396"/>
      <c r="F766" s="397"/>
      <c r="G766" s="401"/>
      <c r="H766" s="402"/>
      <c r="I766" s="402"/>
      <c r="J766" s="402"/>
      <c r="K766" s="402"/>
      <c r="L766" s="403"/>
    </row>
    <row r="767" spans="1:12" ht="18" customHeight="1" x14ac:dyDescent="0.3">
      <c r="A767" s="341" t="s">
        <v>126</v>
      </c>
      <c r="B767" s="342"/>
      <c r="C767" s="342"/>
      <c r="D767" s="342"/>
      <c r="E767" s="342"/>
      <c r="F767" s="343"/>
      <c r="G767" s="404" t="s">
        <v>92</v>
      </c>
      <c r="H767" s="406" t="s">
        <v>93</v>
      </c>
      <c r="I767" s="407"/>
      <c r="J767" s="407"/>
      <c r="K767" s="407"/>
      <c r="L767" s="408"/>
    </row>
    <row r="768" spans="1:12" ht="18" customHeight="1" x14ac:dyDescent="0.3">
      <c r="A768" s="341"/>
      <c r="B768" s="342"/>
      <c r="C768" s="342"/>
      <c r="D768" s="342"/>
      <c r="E768" s="342"/>
      <c r="F768" s="343"/>
      <c r="G768" s="405"/>
      <c r="H768" s="409"/>
      <c r="I768" s="410"/>
      <c r="J768" s="410"/>
      <c r="K768" s="410"/>
      <c r="L768" s="411"/>
    </row>
    <row r="769" spans="1:12" ht="18" customHeight="1" x14ac:dyDescent="0.3">
      <c r="A769" s="341"/>
      <c r="B769" s="342"/>
      <c r="C769" s="342"/>
      <c r="D769" s="342"/>
      <c r="E769" s="342"/>
      <c r="F769" s="343"/>
      <c r="G769" s="323" t="str">
        <f>IF($J787&gt;=90,"○","")</f>
        <v/>
      </c>
      <c r="H769" s="326" t="s">
        <v>94</v>
      </c>
      <c r="I769" s="327"/>
      <c r="J769" s="327"/>
      <c r="K769" s="327"/>
      <c r="L769" s="328"/>
    </row>
    <row r="770" spans="1:12" ht="18" customHeight="1" x14ac:dyDescent="0.3">
      <c r="A770" s="341"/>
      <c r="B770" s="342"/>
      <c r="C770" s="342"/>
      <c r="D770" s="342"/>
      <c r="E770" s="342"/>
      <c r="F770" s="343"/>
      <c r="G770" s="324"/>
      <c r="H770" s="329"/>
      <c r="I770" s="330"/>
      <c r="J770" s="330"/>
      <c r="K770" s="330"/>
      <c r="L770" s="331"/>
    </row>
    <row r="771" spans="1:12" ht="18" customHeight="1" x14ac:dyDescent="0.3">
      <c r="A771" s="341"/>
      <c r="B771" s="342"/>
      <c r="C771" s="342"/>
      <c r="D771" s="342"/>
      <c r="E771" s="342"/>
      <c r="F771" s="343"/>
      <c r="G771" s="325"/>
      <c r="H771" s="332"/>
      <c r="I771" s="333"/>
      <c r="J771" s="333"/>
      <c r="K771" s="333"/>
      <c r="L771" s="334"/>
    </row>
    <row r="772" spans="1:12" ht="18" customHeight="1" x14ac:dyDescent="0.3">
      <c r="A772" s="341"/>
      <c r="B772" s="342"/>
      <c r="C772" s="342"/>
      <c r="D772" s="342"/>
      <c r="E772" s="342"/>
      <c r="F772" s="343"/>
      <c r="G772" s="323" t="str">
        <f>IF(AND($J787&lt;=89.9,$J787&gt;=80),"○","")</f>
        <v>○</v>
      </c>
      <c r="H772" s="326" t="s">
        <v>95</v>
      </c>
      <c r="I772" s="327"/>
      <c r="J772" s="327"/>
      <c r="K772" s="327"/>
      <c r="L772" s="328"/>
    </row>
    <row r="773" spans="1:12" ht="18" customHeight="1" x14ac:dyDescent="0.3">
      <c r="A773" s="341"/>
      <c r="B773" s="342"/>
      <c r="C773" s="342"/>
      <c r="D773" s="342"/>
      <c r="E773" s="342"/>
      <c r="F773" s="343"/>
      <c r="G773" s="324"/>
      <c r="H773" s="329"/>
      <c r="I773" s="330"/>
      <c r="J773" s="330"/>
      <c r="K773" s="330"/>
      <c r="L773" s="331"/>
    </row>
    <row r="774" spans="1:12" ht="18" customHeight="1" x14ac:dyDescent="0.3">
      <c r="A774" s="341"/>
      <c r="B774" s="342"/>
      <c r="C774" s="342"/>
      <c r="D774" s="342"/>
      <c r="E774" s="342"/>
      <c r="F774" s="343"/>
      <c r="G774" s="325"/>
      <c r="H774" s="332"/>
      <c r="I774" s="333"/>
      <c r="J774" s="333"/>
      <c r="K774" s="333"/>
      <c r="L774" s="334"/>
    </row>
    <row r="775" spans="1:12" ht="18" customHeight="1" x14ac:dyDescent="0.3">
      <c r="A775" s="341"/>
      <c r="B775" s="342"/>
      <c r="C775" s="342"/>
      <c r="D775" s="342"/>
      <c r="E775" s="342"/>
      <c r="F775" s="343"/>
      <c r="G775" s="323" t="str">
        <f>IF(AND($J787&lt;=79.9,$J787&gt;=70),"○","")</f>
        <v/>
      </c>
      <c r="H775" s="326" t="s">
        <v>96</v>
      </c>
      <c r="I775" s="327"/>
      <c r="J775" s="327"/>
      <c r="K775" s="327"/>
      <c r="L775" s="328"/>
    </row>
    <row r="776" spans="1:12" ht="18" customHeight="1" x14ac:dyDescent="0.3">
      <c r="A776" s="341"/>
      <c r="B776" s="342"/>
      <c r="C776" s="342"/>
      <c r="D776" s="342"/>
      <c r="E776" s="342"/>
      <c r="F776" s="343"/>
      <c r="G776" s="324"/>
      <c r="H776" s="329"/>
      <c r="I776" s="330"/>
      <c r="J776" s="330"/>
      <c r="K776" s="330"/>
      <c r="L776" s="331"/>
    </row>
    <row r="777" spans="1:12" ht="18" customHeight="1" x14ac:dyDescent="0.3">
      <c r="A777" s="344" t="str">
        <f>"- "&amp;'전체 훈련생 평가 채점표'!$G$8</f>
        <v>- 0</v>
      </c>
      <c r="B777" s="345"/>
      <c r="C777" s="345"/>
      <c r="D777" s="345"/>
      <c r="E777" s="345"/>
      <c r="F777" s="346"/>
      <c r="G777" s="325"/>
      <c r="H777" s="332"/>
      <c r="I777" s="333"/>
      <c r="J777" s="333"/>
      <c r="K777" s="333"/>
      <c r="L777" s="334"/>
    </row>
    <row r="778" spans="1:12" ht="18" customHeight="1" x14ac:dyDescent="0.3">
      <c r="A778" s="344" t="str">
        <f>"- "&amp;'전체 훈련생 평가 채점표'!$F$8</f>
        <v>- 포트폴리오</v>
      </c>
      <c r="B778" s="345"/>
      <c r="C778" s="345"/>
      <c r="D778" s="345"/>
      <c r="E778" s="345"/>
      <c r="F778" s="346"/>
      <c r="G778" s="323" t="str">
        <f>IF(AND($J787&lt;=69.9,$J787&gt;=60),"○","")</f>
        <v/>
      </c>
      <c r="H778" s="326" t="s">
        <v>97</v>
      </c>
      <c r="I778" s="327"/>
      <c r="J778" s="327"/>
      <c r="K778" s="327"/>
      <c r="L778" s="328"/>
    </row>
    <row r="779" spans="1:12" ht="18" customHeight="1" x14ac:dyDescent="0.3">
      <c r="A779" s="347"/>
      <c r="B779" s="348"/>
      <c r="C779" s="348"/>
      <c r="D779" s="348"/>
      <c r="E779" s="348"/>
      <c r="F779" s="349"/>
      <c r="G779" s="324"/>
      <c r="H779" s="329"/>
      <c r="I779" s="330"/>
      <c r="J779" s="330"/>
      <c r="K779" s="330"/>
      <c r="L779" s="331"/>
    </row>
    <row r="780" spans="1:12" ht="18" customHeight="1" x14ac:dyDescent="0.3">
      <c r="A780" s="347"/>
      <c r="B780" s="348"/>
      <c r="C780" s="348"/>
      <c r="D780" s="348"/>
      <c r="E780" s="348"/>
      <c r="F780" s="349"/>
      <c r="G780" s="325"/>
      <c r="H780" s="332"/>
      <c r="I780" s="333"/>
      <c r="J780" s="333"/>
      <c r="K780" s="333"/>
      <c r="L780" s="334"/>
    </row>
    <row r="781" spans="1:12" ht="18" customHeight="1" x14ac:dyDescent="0.3">
      <c r="A781" s="347"/>
      <c r="B781" s="348"/>
      <c r="C781" s="348"/>
      <c r="D781" s="348"/>
      <c r="E781" s="348"/>
      <c r="F781" s="349"/>
      <c r="G781" s="323" t="str">
        <f>IF($J787&lt;=59.9,"○","")</f>
        <v/>
      </c>
      <c r="H781" s="326" t="s">
        <v>98</v>
      </c>
      <c r="I781" s="327"/>
      <c r="J781" s="327"/>
      <c r="K781" s="327"/>
      <c r="L781" s="328"/>
    </row>
    <row r="782" spans="1:12" ht="18" customHeight="1" x14ac:dyDescent="0.3">
      <c r="A782" s="347"/>
      <c r="B782" s="348"/>
      <c r="C782" s="348"/>
      <c r="D782" s="348"/>
      <c r="E782" s="348"/>
      <c r="F782" s="349"/>
      <c r="G782" s="324"/>
      <c r="H782" s="329"/>
      <c r="I782" s="330"/>
      <c r="J782" s="330"/>
      <c r="K782" s="330"/>
      <c r="L782" s="331"/>
    </row>
    <row r="783" spans="1:12" ht="18" customHeight="1" x14ac:dyDescent="0.3">
      <c r="A783" s="347"/>
      <c r="B783" s="348"/>
      <c r="C783" s="348"/>
      <c r="D783" s="348"/>
      <c r="E783" s="348"/>
      <c r="F783" s="349"/>
      <c r="G783" s="325"/>
      <c r="H783" s="332"/>
      <c r="I783" s="333"/>
      <c r="J783" s="333"/>
      <c r="K783" s="333"/>
      <c r="L783" s="334"/>
    </row>
    <row r="784" spans="1:12" ht="18" customHeight="1" x14ac:dyDescent="0.3">
      <c r="A784" s="347"/>
      <c r="B784" s="348"/>
      <c r="C784" s="348"/>
      <c r="D784" s="348"/>
      <c r="E784" s="348"/>
      <c r="F784" s="349"/>
      <c r="G784" s="335" t="s">
        <v>99</v>
      </c>
      <c r="H784" s="336"/>
      <c r="I784" s="336"/>
      <c r="J784" s="336"/>
      <c r="K784" s="336"/>
      <c r="L784" s="337"/>
    </row>
    <row r="785" spans="1:12" ht="18" customHeight="1" x14ac:dyDescent="0.3">
      <c r="A785" s="350"/>
      <c r="B785" s="351"/>
      <c r="C785" s="351"/>
      <c r="D785" s="351"/>
      <c r="E785" s="351"/>
      <c r="F785" s="352"/>
      <c r="G785" s="338"/>
      <c r="H785" s="339"/>
      <c r="I785" s="339"/>
      <c r="J785" s="339"/>
      <c r="K785" s="339"/>
      <c r="L785" s="340"/>
    </row>
    <row r="786" spans="1:12" ht="18" customHeight="1" x14ac:dyDescent="0.3">
      <c r="A786" s="353">
        <f>A742</f>
        <v>0</v>
      </c>
      <c r="B786" s="354"/>
      <c r="C786" s="355"/>
      <c r="D786" s="356"/>
      <c r="E786" s="357"/>
      <c r="F786" s="357"/>
      <c r="G786" s="357"/>
      <c r="H786" s="357"/>
      <c r="I786" s="358"/>
      <c r="J786" s="359" t="s">
        <v>125</v>
      </c>
      <c r="K786" s="360"/>
      <c r="L786" s="361"/>
    </row>
    <row r="787" spans="1:12" ht="18" customHeight="1" x14ac:dyDescent="0.3">
      <c r="A787" s="362" t="str">
        <f>A743</f>
        <v>포트폴리오</v>
      </c>
      <c r="B787" s="363"/>
      <c r="C787" s="364"/>
      <c r="D787" s="365">
        <f>'전체 훈련생 평가 채점표'!F26</f>
        <v>87.142857142857139</v>
      </c>
      <c r="E787" s="366"/>
      <c r="F787" s="366"/>
      <c r="G787" s="366"/>
      <c r="H787" s="366"/>
      <c r="I787" s="367"/>
      <c r="J787" s="368">
        <f>IFERROR((D786+D787+D788),0)</f>
        <v>87.142857142857139</v>
      </c>
      <c r="K787" s="369"/>
      <c r="L787" s="370"/>
    </row>
    <row r="788" spans="1:12" ht="18" customHeight="1" x14ac:dyDescent="0.3">
      <c r="A788" s="374">
        <f>A744</f>
        <v>0</v>
      </c>
      <c r="B788" s="375"/>
      <c r="C788" s="376"/>
      <c r="D788" s="377">
        <f>'전체 훈련생 평가 채점표'!G26</f>
        <v>0</v>
      </c>
      <c r="E788" s="378"/>
      <c r="F788" s="378"/>
      <c r="G788" s="378"/>
      <c r="H788" s="378"/>
      <c r="I788" s="379"/>
      <c r="J788" s="371"/>
      <c r="K788" s="372"/>
      <c r="L788" s="373"/>
    </row>
    <row r="789" spans="1:12" ht="18" customHeight="1" x14ac:dyDescent="0.3">
      <c r="A789" s="303" t="s">
        <v>11</v>
      </c>
      <c r="B789" s="304"/>
      <c r="C789" s="304"/>
      <c r="D789" s="304"/>
      <c r="E789" s="304"/>
      <c r="F789" s="304"/>
      <c r="G789" s="304"/>
      <c r="H789" s="304"/>
      <c r="I789" s="304"/>
      <c r="J789" s="304"/>
      <c r="K789" s="304"/>
      <c r="L789" s="305"/>
    </row>
    <row r="790" spans="1:12" ht="18" customHeight="1" x14ac:dyDescent="0.3">
      <c r="A790" s="306" t="s">
        <v>100</v>
      </c>
      <c r="B790" s="307"/>
      <c r="C790" s="307"/>
      <c r="D790" s="307"/>
      <c r="E790" s="307"/>
      <c r="F790" s="307"/>
      <c r="G790" s="307"/>
      <c r="H790" s="307"/>
      <c r="I790" s="307"/>
      <c r="J790" s="307"/>
      <c r="K790" s="307"/>
      <c r="L790" s="308"/>
    </row>
    <row r="791" spans="1:12" ht="18" customHeight="1" x14ac:dyDescent="0.3">
      <c r="A791" s="309" t="s">
        <v>92</v>
      </c>
      <c r="B791" s="309"/>
      <c r="C791" s="309"/>
      <c r="D791" s="310" t="s">
        <v>101</v>
      </c>
      <c r="E791" s="311"/>
      <c r="F791" s="310" t="s">
        <v>102</v>
      </c>
      <c r="G791" s="312"/>
      <c r="H791" s="311"/>
      <c r="I791" s="313">
        <f>$J787</f>
        <v>87.142857142857139</v>
      </c>
      <c r="J791" s="313"/>
      <c r="K791" s="315" t="s">
        <v>103</v>
      </c>
      <c r="L791" s="316"/>
    </row>
    <row r="792" spans="1:12" ht="18" customHeight="1" x14ac:dyDescent="0.3">
      <c r="A792" s="319" t="s">
        <v>104</v>
      </c>
      <c r="B792" s="319"/>
      <c r="C792" s="319"/>
      <c r="D792" s="320" t="s">
        <v>105</v>
      </c>
      <c r="E792" s="321"/>
      <c r="F792" s="320" t="s">
        <v>106</v>
      </c>
      <c r="G792" s="322"/>
      <c r="H792" s="321"/>
      <c r="I792" s="314"/>
      <c r="J792" s="314"/>
      <c r="K792" s="317"/>
      <c r="L792" s="318"/>
    </row>
    <row r="793" spans="1:12" ht="21.95" customHeight="1" x14ac:dyDescent="0.3">
      <c r="A793" s="453" t="str">
        <f>MID(VLOOKUP('전체 훈련생 평가 채점표'!$L$2,'기초데이타(작성필히)'!$A$5:$P$19,9),18,50)&amp;" 수행평가"</f>
        <v xml:space="preserve">  스마트문화앱UX설계 수행평가</v>
      </c>
      <c r="B793" s="453"/>
      <c r="C793" s="453"/>
      <c r="D793" s="453"/>
      <c r="E793" s="453"/>
      <c r="F793" s="453"/>
      <c r="G793" s="453"/>
      <c r="H793" s="453"/>
      <c r="I793" s="453"/>
      <c r="J793" s="453"/>
      <c r="K793" s="453"/>
      <c r="L793" s="453"/>
    </row>
    <row r="794" spans="1:12" ht="18" customHeight="1" x14ac:dyDescent="0.3">
      <c r="A794" s="309" t="s">
        <v>16</v>
      </c>
      <c r="B794" s="454">
        <f>VLOOKUP('전체 훈련생 평가 채점표'!$L$2,'기초데이타(작성필히)'!$A$5:$P$19,3)</f>
        <v>2021</v>
      </c>
      <c r="C794" s="454" t="s">
        <v>17</v>
      </c>
      <c r="D794" s="455" t="str">
        <f>VLOOKUP('전체 훈련생 평가 채점표'!$L$2,'기초데이타(작성필히)'!$A$5:$P$19,4)</f>
        <v>[디지털디자인]반응형 웹디자인(UIUX) &amp; 웹퍼블리셔 디지털 실무 양성과정 A-5</v>
      </c>
      <c r="E794" s="455"/>
      <c r="F794" s="455"/>
      <c r="G794" s="454" t="s">
        <v>18</v>
      </c>
      <c r="H794" s="359" t="str">
        <f>VLOOKUP('전체 훈련생 평가 채점표'!$L$2,'기초데이타(작성필히)'!$A$5:$P$19,5)</f>
        <v>21.08.31 ~ 22.02.07</v>
      </c>
      <c r="I794" s="360"/>
      <c r="J794" s="361"/>
      <c r="K794" s="460" t="s">
        <v>78</v>
      </c>
      <c r="L794" s="309" t="str">
        <f>VLOOKUP('전체 훈련생 평가 채점표'!$L$2,'기초데이타(작성필히)'!$A$5:$P$19,6)</f>
        <v>760H</v>
      </c>
    </row>
    <row r="795" spans="1:12" ht="18" customHeight="1" x14ac:dyDescent="0.3">
      <c r="A795" s="412"/>
      <c r="B795" s="413"/>
      <c r="C795" s="413"/>
      <c r="D795" s="456"/>
      <c r="E795" s="456"/>
      <c r="F795" s="456"/>
      <c r="G795" s="413"/>
      <c r="H795" s="457"/>
      <c r="I795" s="458"/>
      <c r="J795" s="459"/>
      <c r="K795" s="461"/>
      <c r="L795" s="412"/>
    </row>
    <row r="796" spans="1:12" ht="18" customHeight="1" x14ac:dyDescent="0.3">
      <c r="A796" s="412" t="s">
        <v>23</v>
      </c>
      <c r="B796" s="412"/>
      <c r="C796" s="412" t="str">
        <f>LEFT(VLOOKUP('전체 훈련생 평가 채점표'!$L$2,'기초데이타(작성필히)'!$A$5:$P$19,9),17)</f>
        <v>[0803020911_18v3]</v>
      </c>
      <c r="D796" s="412"/>
      <c r="E796" s="412"/>
      <c r="F796" s="412"/>
      <c r="G796" s="413" t="s">
        <v>24</v>
      </c>
      <c r="H796" s="412" t="str">
        <f>VLOOKUP('전체 훈련생 평가 채점표'!$L$2,'기초데이타(작성필히)'!$A$5:$P$19,12)</f>
        <v>이창훈</v>
      </c>
      <c r="I796" s="412"/>
      <c r="J796" s="412"/>
      <c r="K796" s="414"/>
      <c r="L796" s="415" t="s">
        <v>25</v>
      </c>
    </row>
    <row r="797" spans="1:12" ht="18" customHeight="1" x14ac:dyDescent="0.3">
      <c r="A797" s="412"/>
      <c r="B797" s="412"/>
      <c r="C797" s="412" t="str">
        <f>MID(VLOOKUP('전체 훈련생 평가 채점표'!$L$2,'기초데이타(작성필히)'!$A$5:$P$19,9),18,50)</f>
        <v xml:space="preserve">  스마트문화앱UX설계</v>
      </c>
      <c r="D797" s="412"/>
      <c r="E797" s="412"/>
      <c r="F797" s="412"/>
      <c r="G797" s="413"/>
      <c r="H797" s="412"/>
      <c r="I797" s="412"/>
      <c r="J797" s="412"/>
      <c r="K797" s="414"/>
      <c r="L797" s="416"/>
    </row>
    <row r="798" spans="1:12" ht="18" customHeight="1" x14ac:dyDescent="0.3">
      <c r="A798" s="412" t="s">
        <v>79</v>
      </c>
      <c r="B798" s="412"/>
      <c r="C798" s="413" t="str">
        <f>'전체 훈련생 평가 채점표'!B27</f>
        <v>황다영</v>
      </c>
      <c r="D798" s="413" t="s">
        <v>21</v>
      </c>
      <c r="E798" s="418" t="str">
        <f>VLOOKUP('전체 훈련생 평가 채점표'!$L$2,'기초데이타(작성필히)'!$A$5:$P$19,10)</f>
        <v>21.11.11~21.11.24</v>
      </c>
      <c r="F798" s="419"/>
      <c r="G798" s="420"/>
      <c r="H798" s="60" t="s">
        <v>80</v>
      </c>
      <c r="I798" s="61" t="s">
        <v>22</v>
      </c>
      <c r="J798" s="424" t="s">
        <v>81</v>
      </c>
      <c r="K798" s="425"/>
      <c r="L798" s="426"/>
    </row>
    <row r="799" spans="1:12" ht="18" customHeight="1" x14ac:dyDescent="0.3">
      <c r="A799" s="319"/>
      <c r="B799" s="319"/>
      <c r="C799" s="417"/>
      <c r="D799" s="417"/>
      <c r="E799" s="421"/>
      <c r="F799" s="422"/>
      <c r="G799" s="423"/>
      <c r="H799" s="62" t="s">
        <v>113</v>
      </c>
      <c r="I799" s="62">
        <f>VLOOKUP('전체 훈련생 평가 채점표'!$L$2,'기초데이타(작성필히)'!$A$5:$P$19,11)</f>
        <v>70</v>
      </c>
      <c r="J799" s="314" t="s">
        <v>113</v>
      </c>
      <c r="K799" s="314"/>
      <c r="L799" s="427"/>
    </row>
    <row r="800" spans="1:12" ht="18" customHeight="1" x14ac:dyDescent="0.3"/>
    <row r="801" spans="1:12" ht="18" customHeight="1" x14ac:dyDescent="0.3">
      <c r="A801" s="428" t="s">
        <v>82</v>
      </c>
      <c r="B801" s="429"/>
      <c r="C801" s="429"/>
      <c r="D801" s="431" t="s">
        <v>83</v>
      </c>
      <c r="E801" s="431"/>
      <c r="F801" s="431"/>
      <c r="G801" s="433" t="s">
        <v>84</v>
      </c>
      <c r="H801" s="434"/>
      <c r="I801" s="434"/>
      <c r="J801" s="434"/>
      <c r="K801" s="434"/>
      <c r="L801" s="435"/>
    </row>
    <row r="802" spans="1:12" ht="18" customHeight="1" x14ac:dyDescent="0.3">
      <c r="A802" s="430"/>
      <c r="B802" s="430"/>
      <c r="C802" s="430"/>
      <c r="D802" s="432"/>
      <c r="E802" s="432"/>
      <c r="F802" s="432"/>
      <c r="G802" s="436"/>
      <c r="H802" s="437"/>
      <c r="I802" s="437"/>
      <c r="J802" s="437"/>
      <c r="K802" s="437"/>
      <c r="L802" s="438"/>
    </row>
    <row r="803" spans="1:12" ht="18" customHeight="1" x14ac:dyDescent="0.3">
      <c r="A803" s="383" t="str">
        <f>$C798</f>
        <v>황다영</v>
      </c>
      <c r="B803" s="439"/>
      <c r="C803" s="439"/>
      <c r="D803" s="441" t="str">
        <f>$H796</f>
        <v>이창훈</v>
      </c>
      <c r="E803" s="443" t="s">
        <v>25</v>
      </c>
      <c r="F803" s="444"/>
      <c r="G803" s="382" t="s">
        <v>85</v>
      </c>
      <c r="H803" s="447">
        <f>VLOOKUP('전체 훈련생 평가 채점표'!$L$2,'기초데이타(작성필히)'!$A$5:$P$19,13)</f>
        <v>44524</v>
      </c>
      <c r="I803" s="448"/>
      <c r="J803" s="448"/>
      <c r="K803" s="449"/>
      <c r="L803" s="391" t="s">
        <v>86</v>
      </c>
    </row>
    <row r="804" spans="1:12" ht="18" customHeight="1" x14ac:dyDescent="0.3">
      <c r="A804" s="440"/>
      <c r="B804" s="440"/>
      <c r="C804" s="440"/>
      <c r="D804" s="442"/>
      <c r="E804" s="445"/>
      <c r="F804" s="446"/>
      <c r="G804" s="384"/>
      <c r="H804" s="450"/>
      <c r="I804" s="451"/>
      <c r="J804" s="451"/>
      <c r="K804" s="452"/>
      <c r="L804" s="392"/>
    </row>
    <row r="805" spans="1:12" ht="18" customHeight="1" x14ac:dyDescent="0.3">
      <c r="A805" s="380" t="s">
        <v>87</v>
      </c>
      <c r="B805" s="380"/>
      <c r="C805" s="380"/>
      <c r="D805" s="382" t="str">
        <f>$C796</f>
        <v>[0803020911_18v3]</v>
      </c>
      <c r="E805" s="382"/>
      <c r="F805" s="382"/>
      <c r="G805" s="382" t="s">
        <v>88</v>
      </c>
      <c r="H805" s="385"/>
      <c r="I805" s="386"/>
      <c r="J805" s="386"/>
      <c r="K805" s="387"/>
      <c r="L805" s="391" t="s">
        <v>86</v>
      </c>
    </row>
    <row r="806" spans="1:12" ht="18" customHeight="1" x14ac:dyDescent="0.3">
      <c r="A806" s="381"/>
      <c r="B806" s="381"/>
      <c r="C806" s="381"/>
      <c r="D806" s="383"/>
      <c r="E806" s="383"/>
      <c r="F806" s="383"/>
      <c r="G806" s="384"/>
      <c r="H806" s="388"/>
      <c r="I806" s="389"/>
      <c r="J806" s="389"/>
      <c r="K806" s="390"/>
      <c r="L806" s="392"/>
    </row>
    <row r="807" spans="1:12" ht="18" customHeight="1" x14ac:dyDescent="0.3">
      <c r="A807" s="393" t="str">
        <f>VLOOKUP('전체 훈련생 평가 채점표'!$L$2,'기초데이타(작성필히)'!$A$5:$P$19,7)</f>
        <v>스타일가이드제작 및 시안디자인 제작2</v>
      </c>
      <c r="B807" s="393"/>
      <c r="C807" s="393"/>
      <c r="D807" s="383" t="str">
        <f>$C797</f>
        <v xml:space="preserve">  스마트문화앱UX설계</v>
      </c>
      <c r="E807" s="383"/>
      <c r="F807" s="383"/>
      <c r="G807" s="382" t="s">
        <v>89</v>
      </c>
      <c r="H807" s="385"/>
      <c r="I807" s="386"/>
      <c r="J807" s="386"/>
      <c r="K807" s="387"/>
      <c r="L807" s="391" t="s">
        <v>86</v>
      </c>
    </row>
    <row r="808" spans="1:12" ht="18" customHeight="1" x14ac:dyDescent="0.3">
      <c r="A808" s="394"/>
      <c r="B808" s="394"/>
      <c r="C808" s="394"/>
      <c r="D808" s="384"/>
      <c r="E808" s="384"/>
      <c r="F808" s="384"/>
      <c r="G808" s="384"/>
      <c r="H808" s="388"/>
      <c r="I808" s="389"/>
      <c r="J808" s="389"/>
      <c r="K808" s="390"/>
      <c r="L808" s="392"/>
    </row>
    <row r="809" spans="1:12" ht="18" customHeight="1" x14ac:dyDescent="0.3">
      <c r="A809" s="395" t="s">
        <v>90</v>
      </c>
      <c r="B809" s="396"/>
      <c r="C809" s="396"/>
      <c r="D809" s="396"/>
      <c r="E809" s="396"/>
      <c r="F809" s="397"/>
      <c r="G809" s="398" t="s">
        <v>91</v>
      </c>
      <c r="H809" s="399"/>
      <c r="I809" s="399"/>
      <c r="J809" s="399"/>
      <c r="K809" s="399"/>
      <c r="L809" s="400"/>
    </row>
    <row r="810" spans="1:12" ht="18" customHeight="1" x14ac:dyDescent="0.3">
      <c r="A810" s="395"/>
      <c r="B810" s="396"/>
      <c r="C810" s="396"/>
      <c r="D810" s="396"/>
      <c r="E810" s="396"/>
      <c r="F810" s="397"/>
      <c r="G810" s="401"/>
      <c r="H810" s="402"/>
      <c r="I810" s="402"/>
      <c r="J810" s="402"/>
      <c r="K810" s="402"/>
      <c r="L810" s="403"/>
    </row>
    <row r="811" spans="1:12" ht="18" customHeight="1" x14ac:dyDescent="0.3">
      <c r="A811" s="341" t="s">
        <v>126</v>
      </c>
      <c r="B811" s="342"/>
      <c r="C811" s="342"/>
      <c r="D811" s="342"/>
      <c r="E811" s="342"/>
      <c r="F811" s="343"/>
      <c r="G811" s="404" t="s">
        <v>92</v>
      </c>
      <c r="H811" s="406" t="s">
        <v>93</v>
      </c>
      <c r="I811" s="407"/>
      <c r="J811" s="407"/>
      <c r="K811" s="407"/>
      <c r="L811" s="408"/>
    </row>
    <row r="812" spans="1:12" ht="18" customHeight="1" x14ac:dyDescent="0.3">
      <c r="A812" s="341"/>
      <c r="B812" s="342"/>
      <c r="C812" s="342"/>
      <c r="D812" s="342"/>
      <c r="E812" s="342"/>
      <c r="F812" s="343"/>
      <c r="G812" s="405"/>
      <c r="H812" s="409"/>
      <c r="I812" s="410"/>
      <c r="J812" s="410"/>
      <c r="K812" s="410"/>
      <c r="L812" s="411"/>
    </row>
    <row r="813" spans="1:12" ht="18" customHeight="1" x14ac:dyDescent="0.3">
      <c r="A813" s="341"/>
      <c r="B813" s="342"/>
      <c r="C813" s="342"/>
      <c r="D813" s="342"/>
      <c r="E813" s="342"/>
      <c r="F813" s="343"/>
      <c r="G813" s="323" t="str">
        <f>IF($J831&gt;=90,"○","")</f>
        <v/>
      </c>
      <c r="H813" s="326" t="s">
        <v>94</v>
      </c>
      <c r="I813" s="327"/>
      <c r="J813" s="327"/>
      <c r="K813" s="327"/>
      <c r="L813" s="328"/>
    </row>
    <row r="814" spans="1:12" ht="18" customHeight="1" x14ac:dyDescent="0.3">
      <c r="A814" s="341"/>
      <c r="B814" s="342"/>
      <c r="C814" s="342"/>
      <c r="D814" s="342"/>
      <c r="E814" s="342"/>
      <c r="F814" s="343"/>
      <c r="G814" s="324"/>
      <c r="H814" s="329"/>
      <c r="I814" s="330"/>
      <c r="J814" s="330"/>
      <c r="K814" s="330"/>
      <c r="L814" s="331"/>
    </row>
    <row r="815" spans="1:12" ht="18" customHeight="1" x14ac:dyDescent="0.3">
      <c r="A815" s="341"/>
      <c r="B815" s="342"/>
      <c r="C815" s="342"/>
      <c r="D815" s="342"/>
      <c r="E815" s="342"/>
      <c r="F815" s="343"/>
      <c r="G815" s="325"/>
      <c r="H815" s="332"/>
      <c r="I815" s="333"/>
      <c r="J815" s="333"/>
      <c r="K815" s="333"/>
      <c r="L815" s="334"/>
    </row>
    <row r="816" spans="1:12" ht="18" customHeight="1" x14ac:dyDescent="0.3">
      <c r="A816" s="341"/>
      <c r="B816" s="342"/>
      <c r="C816" s="342"/>
      <c r="D816" s="342"/>
      <c r="E816" s="342"/>
      <c r="F816" s="343"/>
      <c r="G816" s="323" t="str">
        <f>IF(AND($J831&lt;=89.9,$J831&gt;=80),"○","")</f>
        <v>○</v>
      </c>
      <c r="H816" s="326" t="s">
        <v>95</v>
      </c>
      <c r="I816" s="327"/>
      <c r="J816" s="327"/>
      <c r="K816" s="327"/>
      <c r="L816" s="328"/>
    </row>
    <row r="817" spans="1:12" ht="18" customHeight="1" x14ac:dyDescent="0.3">
      <c r="A817" s="341"/>
      <c r="B817" s="342"/>
      <c r="C817" s="342"/>
      <c r="D817" s="342"/>
      <c r="E817" s="342"/>
      <c r="F817" s="343"/>
      <c r="G817" s="324"/>
      <c r="H817" s="329"/>
      <c r="I817" s="330"/>
      <c r="J817" s="330"/>
      <c r="K817" s="330"/>
      <c r="L817" s="331"/>
    </row>
    <row r="818" spans="1:12" ht="18" customHeight="1" x14ac:dyDescent="0.3">
      <c r="A818" s="341"/>
      <c r="B818" s="342"/>
      <c r="C818" s="342"/>
      <c r="D818" s="342"/>
      <c r="E818" s="342"/>
      <c r="F818" s="343"/>
      <c r="G818" s="325"/>
      <c r="H818" s="332"/>
      <c r="I818" s="333"/>
      <c r="J818" s="333"/>
      <c r="K818" s="333"/>
      <c r="L818" s="334"/>
    </row>
    <row r="819" spans="1:12" ht="18" customHeight="1" x14ac:dyDescent="0.3">
      <c r="A819" s="341"/>
      <c r="B819" s="342"/>
      <c r="C819" s="342"/>
      <c r="D819" s="342"/>
      <c r="E819" s="342"/>
      <c r="F819" s="343"/>
      <c r="G819" s="323" t="str">
        <f>IF(AND($J831&lt;=79.9,$J831&gt;=70),"○","")</f>
        <v/>
      </c>
      <c r="H819" s="326" t="s">
        <v>96</v>
      </c>
      <c r="I819" s="327"/>
      <c r="J819" s="327"/>
      <c r="K819" s="327"/>
      <c r="L819" s="328"/>
    </row>
    <row r="820" spans="1:12" ht="18" customHeight="1" x14ac:dyDescent="0.3">
      <c r="A820" s="341"/>
      <c r="B820" s="342"/>
      <c r="C820" s="342"/>
      <c r="D820" s="342"/>
      <c r="E820" s="342"/>
      <c r="F820" s="343"/>
      <c r="G820" s="324"/>
      <c r="H820" s="329"/>
      <c r="I820" s="330"/>
      <c r="J820" s="330"/>
      <c r="K820" s="330"/>
      <c r="L820" s="331"/>
    </row>
    <row r="821" spans="1:12" ht="18" customHeight="1" x14ac:dyDescent="0.3">
      <c r="A821" s="344" t="str">
        <f>"- "&amp;'전체 훈련생 평가 채점표'!$G$8</f>
        <v>- 0</v>
      </c>
      <c r="B821" s="345"/>
      <c r="C821" s="345"/>
      <c r="D821" s="345"/>
      <c r="E821" s="345"/>
      <c r="F821" s="346"/>
      <c r="G821" s="325"/>
      <c r="H821" s="332"/>
      <c r="I821" s="333"/>
      <c r="J821" s="333"/>
      <c r="K821" s="333"/>
      <c r="L821" s="334"/>
    </row>
    <row r="822" spans="1:12" ht="18" customHeight="1" x14ac:dyDescent="0.3">
      <c r="A822" s="344" t="str">
        <f>"- "&amp;'전체 훈련생 평가 채점표'!$F$8</f>
        <v>- 포트폴리오</v>
      </c>
      <c r="B822" s="345"/>
      <c r="C822" s="345"/>
      <c r="D822" s="345"/>
      <c r="E822" s="345"/>
      <c r="F822" s="346"/>
      <c r="G822" s="323" t="str">
        <f>IF(AND($J831&lt;=69.9,$J831&gt;=60),"○","")</f>
        <v/>
      </c>
      <c r="H822" s="326" t="s">
        <v>97</v>
      </c>
      <c r="I822" s="327"/>
      <c r="J822" s="327"/>
      <c r="K822" s="327"/>
      <c r="L822" s="328"/>
    </row>
    <row r="823" spans="1:12" ht="18" customHeight="1" x14ac:dyDescent="0.3">
      <c r="A823" s="347"/>
      <c r="B823" s="348"/>
      <c r="C823" s="348"/>
      <c r="D823" s="348"/>
      <c r="E823" s="348"/>
      <c r="F823" s="349"/>
      <c r="G823" s="324"/>
      <c r="H823" s="329"/>
      <c r="I823" s="330"/>
      <c r="J823" s="330"/>
      <c r="K823" s="330"/>
      <c r="L823" s="331"/>
    </row>
    <row r="824" spans="1:12" ht="18" customHeight="1" x14ac:dyDescent="0.3">
      <c r="A824" s="347"/>
      <c r="B824" s="348"/>
      <c r="C824" s="348"/>
      <c r="D824" s="348"/>
      <c r="E824" s="348"/>
      <c r="F824" s="349"/>
      <c r="G824" s="325"/>
      <c r="H824" s="332"/>
      <c r="I824" s="333"/>
      <c r="J824" s="333"/>
      <c r="K824" s="333"/>
      <c r="L824" s="334"/>
    </row>
    <row r="825" spans="1:12" ht="18" customHeight="1" x14ac:dyDescent="0.3">
      <c r="A825" s="347"/>
      <c r="B825" s="348"/>
      <c r="C825" s="348"/>
      <c r="D825" s="348"/>
      <c r="E825" s="348"/>
      <c r="F825" s="349"/>
      <c r="G825" s="323" t="str">
        <f>IF($J831&lt;=59.9,"○","")</f>
        <v/>
      </c>
      <c r="H825" s="326" t="s">
        <v>98</v>
      </c>
      <c r="I825" s="327"/>
      <c r="J825" s="327"/>
      <c r="K825" s="327"/>
      <c r="L825" s="328"/>
    </row>
    <row r="826" spans="1:12" ht="18" customHeight="1" x14ac:dyDescent="0.3">
      <c r="A826" s="347"/>
      <c r="B826" s="348"/>
      <c r="C826" s="348"/>
      <c r="D826" s="348"/>
      <c r="E826" s="348"/>
      <c r="F826" s="349"/>
      <c r="G826" s="324"/>
      <c r="H826" s="329"/>
      <c r="I826" s="330"/>
      <c r="J826" s="330"/>
      <c r="K826" s="330"/>
      <c r="L826" s="331"/>
    </row>
    <row r="827" spans="1:12" ht="18" customHeight="1" x14ac:dyDescent="0.3">
      <c r="A827" s="347"/>
      <c r="B827" s="348"/>
      <c r="C827" s="348"/>
      <c r="D827" s="348"/>
      <c r="E827" s="348"/>
      <c r="F827" s="349"/>
      <c r="G827" s="325"/>
      <c r="H827" s="332"/>
      <c r="I827" s="333"/>
      <c r="J827" s="333"/>
      <c r="K827" s="333"/>
      <c r="L827" s="334"/>
    </row>
    <row r="828" spans="1:12" ht="18" customHeight="1" x14ac:dyDescent="0.3">
      <c r="A828" s="347"/>
      <c r="B828" s="348"/>
      <c r="C828" s="348"/>
      <c r="D828" s="348"/>
      <c r="E828" s="348"/>
      <c r="F828" s="349"/>
      <c r="G828" s="335" t="s">
        <v>99</v>
      </c>
      <c r="H828" s="336"/>
      <c r="I828" s="336"/>
      <c r="J828" s="336"/>
      <c r="K828" s="336"/>
      <c r="L828" s="337"/>
    </row>
    <row r="829" spans="1:12" ht="18" customHeight="1" x14ac:dyDescent="0.3">
      <c r="A829" s="350"/>
      <c r="B829" s="351"/>
      <c r="C829" s="351"/>
      <c r="D829" s="351"/>
      <c r="E829" s="351"/>
      <c r="F829" s="352"/>
      <c r="G829" s="338"/>
      <c r="H829" s="339"/>
      <c r="I829" s="339"/>
      <c r="J829" s="339"/>
      <c r="K829" s="339"/>
      <c r="L829" s="340"/>
    </row>
    <row r="830" spans="1:12" ht="18" customHeight="1" x14ac:dyDescent="0.3">
      <c r="A830" s="353">
        <f>A786</f>
        <v>0</v>
      </c>
      <c r="B830" s="354"/>
      <c r="C830" s="355"/>
      <c r="D830" s="356"/>
      <c r="E830" s="357"/>
      <c r="F830" s="357"/>
      <c r="G830" s="357"/>
      <c r="H830" s="357"/>
      <c r="I830" s="358"/>
      <c r="J830" s="359" t="s">
        <v>125</v>
      </c>
      <c r="K830" s="360"/>
      <c r="L830" s="361"/>
    </row>
    <row r="831" spans="1:12" ht="18" customHeight="1" x14ac:dyDescent="0.3">
      <c r="A831" s="362" t="str">
        <f>A787</f>
        <v>포트폴리오</v>
      </c>
      <c r="B831" s="363"/>
      <c r="C831" s="364"/>
      <c r="D831" s="365">
        <f>'전체 훈련생 평가 채점표'!F27</f>
        <v>87.142857142857139</v>
      </c>
      <c r="E831" s="366"/>
      <c r="F831" s="366"/>
      <c r="G831" s="366"/>
      <c r="H831" s="366"/>
      <c r="I831" s="367"/>
      <c r="J831" s="368">
        <f>IFERROR((D830+D831+D832),0)</f>
        <v>87.142857142857139</v>
      </c>
      <c r="K831" s="369"/>
      <c r="L831" s="370"/>
    </row>
    <row r="832" spans="1:12" ht="18" customHeight="1" x14ac:dyDescent="0.3">
      <c r="A832" s="374">
        <f>A788</f>
        <v>0</v>
      </c>
      <c r="B832" s="375"/>
      <c r="C832" s="376"/>
      <c r="D832" s="377">
        <f>'전체 훈련생 평가 채점표'!G27</f>
        <v>0</v>
      </c>
      <c r="E832" s="378"/>
      <c r="F832" s="378"/>
      <c r="G832" s="378"/>
      <c r="H832" s="378"/>
      <c r="I832" s="379"/>
      <c r="J832" s="371"/>
      <c r="K832" s="372"/>
      <c r="L832" s="373"/>
    </row>
    <row r="833" spans="1:12" ht="18" customHeight="1" x14ac:dyDescent="0.3">
      <c r="A833" s="303" t="s">
        <v>11</v>
      </c>
      <c r="B833" s="304"/>
      <c r="C833" s="304"/>
      <c r="D833" s="304"/>
      <c r="E833" s="304"/>
      <c r="F833" s="304"/>
      <c r="G833" s="304"/>
      <c r="H833" s="304"/>
      <c r="I833" s="304"/>
      <c r="J833" s="304"/>
      <c r="K833" s="304"/>
      <c r="L833" s="305"/>
    </row>
    <row r="834" spans="1:12" ht="18" customHeight="1" x14ac:dyDescent="0.3">
      <c r="A834" s="306" t="s">
        <v>100</v>
      </c>
      <c r="B834" s="307"/>
      <c r="C834" s="307"/>
      <c r="D834" s="307"/>
      <c r="E834" s="307"/>
      <c r="F834" s="307"/>
      <c r="G834" s="307"/>
      <c r="H834" s="307"/>
      <c r="I834" s="307"/>
      <c r="J834" s="307"/>
      <c r="K834" s="307"/>
      <c r="L834" s="308"/>
    </row>
    <row r="835" spans="1:12" ht="18" customHeight="1" x14ac:dyDescent="0.3">
      <c r="A835" s="309" t="s">
        <v>92</v>
      </c>
      <c r="B835" s="309"/>
      <c r="C835" s="309"/>
      <c r="D835" s="310" t="s">
        <v>101</v>
      </c>
      <c r="E835" s="311"/>
      <c r="F835" s="310" t="s">
        <v>102</v>
      </c>
      <c r="G835" s="312"/>
      <c r="H835" s="311"/>
      <c r="I835" s="313">
        <f>$J831</f>
        <v>87.142857142857139</v>
      </c>
      <c r="J835" s="313"/>
      <c r="K835" s="315" t="s">
        <v>103</v>
      </c>
      <c r="L835" s="316"/>
    </row>
    <row r="836" spans="1:12" ht="18" customHeight="1" x14ac:dyDescent="0.3">
      <c r="A836" s="319" t="s">
        <v>104</v>
      </c>
      <c r="B836" s="319"/>
      <c r="C836" s="319"/>
      <c r="D836" s="320" t="s">
        <v>105</v>
      </c>
      <c r="E836" s="321"/>
      <c r="F836" s="320" t="s">
        <v>106</v>
      </c>
      <c r="G836" s="322"/>
      <c r="H836" s="321"/>
      <c r="I836" s="314"/>
      <c r="J836" s="314"/>
      <c r="K836" s="317"/>
      <c r="L836" s="318"/>
    </row>
    <row r="837" spans="1:12" ht="18" customHeight="1" x14ac:dyDescent="0.3">
      <c r="A837" s="453" t="str">
        <f>MID(VLOOKUP('전체 훈련생 평가 채점표'!$L$2,'기초데이타(작성필히)'!$A$5:$P$19,9),18,50)&amp;" 수행평가"</f>
        <v xml:space="preserve">  스마트문화앱UX설계 수행평가</v>
      </c>
      <c r="B837" s="453"/>
      <c r="C837" s="453"/>
      <c r="D837" s="453"/>
      <c r="E837" s="453"/>
      <c r="F837" s="453"/>
      <c r="G837" s="453"/>
      <c r="H837" s="453"/>
      <c r="I837" s="453"/>
      <c r="J837" s="453"/>
      <c r="K837" s="453"/>
      <c r="L837" s="453"/>
    </row>
    <row r="838" spans="1:12" ht="18" customHeight="1" x14ac:dyDescent="0.3">
      <c r="A838" s="309" t="s">
        <v>16</v>
      </c>
      <c r="B838" s="454">
        <f>VLOOKUP('전체 훈련생 평가 채점표'!$L$2,'기초데이타(작성필히)'!$A$5:$P$19,3)</f>
        <v>2021</v>
      </c>
      <c r="C838" s="454" t="s">
        <v>17</v>
      </c>
      <c r="D838" s="455" t="str">
        <f>VLOOKUP('전체 훈련생 평가 채점표'!$L$2,'기초데이타(작성필히)'!$A$5:$P$19,4)</f>
        <v>[디지털디자인]반응형 웹디자인(UIUX) &amp; 웹퍼블리셔 디지털 실무 양성과정 A-5</v>
      </c>
      <c r="E838" s="455"/>
      <c r="F838" s="455"/>
      <c r="G838" s="454" t="s">
        <v>18</v>
      </c>
      <c r="H838" s="359" t="str">
        <f>VLOOKUP('전체 훈련생 평가 채점표'!$L$2,'기초데이타(작성필히)'!$A$5:$P$19,5)</f>
        <v>21.08.31 ~ 22.02.07</v>
      </c>
      <c r="I838" s="360"/>
      <c r="J838" s="361"/>
      <c r="K838" s="460" t="s">
        <v>78</v>
      </c>
      <c r="L838" s="309" t="str">
        <f>VLOOKUP('전체 훈련생 평가 채점표'!$L$2,'기초데이타(작성필히)'!$A$5:$P$19,6)</f>
        <v>760H</v>
      </c>
    </row>
    <row r="839" spans="1:12" ht="18" customHeight="1" x14ac:dyDescent="0.3">
      <c r="A839" s="412"/>
      <c r="B839" s="413"/>
      <c r="C839" s="413"/>
      <c r="D839" s="456"/>
      <c r="E839" s="456"/>
      <c r="F839" s="456"/>
      <c r="G839" s="413"/>
      <c r="H839" s="457"/>
      <c r="I839" s="458"/>
      <c r="J839" s="459"/>
      <c r="K839" s="461"/>
      <c r="L839" s="412"/>
    </row>
    <row r="840" spans="1:12" ht="18" customHeight="1" x14ac:dyDescent="0.3">
      <c r="A840" s="412" t="s">
        <v>23</v>
      </c>
      <c r="B840" s="412"/>
      <c r="C840" s="412" t="str">
        <f>LEFT(VLOOKUP('전체 훈련생 평가 채점표'!$L$2,'기초데이타(작성필히)'!$A$5:$P$19,9),17)</f>
        <v>[0803020911_18v3]</v>
      </c>
      <c r="D840" s="412"/>
      <c r="E840" s="412"/>
      <c r="F840" s="412"/>
      <c r="G840" s="413" t="s">
        <v>24</v>
      </c>
      <c r="H840" s="412" t="str">
        <f>VLOOKUP('전체 훈련생 평가 채점표'!$L$2,'기초데이타(작성필히)'!$A$5:$P$19,12)</f>
        <v>이창훈</v>
      </c>
      <c r="I840" s="412"/>
      <c r="J840" s="412"/>
      <c r="K840" s="414"/>
      <c r="L840" s="415" t="s">
        <v>25</v>
      </c>
    </row>
    <row r="841" spans="1:12" ht="18" customHeight="1" x14ac:dyDescent="0.3">
      <c r="A841" s="412"/>
      <c r="B841" s="412"/>
      <c r="C841" s="412" t="str">
        <f>MID(VLOOKUP('전체 훈련생 평가 채점표'!$L$2,'기초데이타(작성필히)'!$A$5:$P$19,9),18,50)</f>
        <v xml:space="preserve">  스마트문화앱UX설계</v>
      </c>
      <c r="D841" s="412"/>
      <c r="E841" s="412"/>
      <c r="F841" s="412"/>
      <c r="G841" s="413"/>
      <c r="H841" s="412"/>
      <c r="I841" s="412"/>
      <c r="J841" s="412"/>
      <c r="K841" s="414"/>
      <c r="L841" s="416"/>
    </row>
    <row r="842" spans="1:12" ht="18" customHeight="1" x14ac:dyDescent="0.3">
      <c r="A842" s="412" t="s">
        <v>79</v>
      </c>
      <c r="B842" s="412"/>
      <c r="C842" s="413" t="str">
        <f>'전체 훈련생 평가 채점표'!B28</f>
        <v/>
      </c>
      <c r="D842" s="413" t="s">
        <v>21</v>
      </c>
      <c r="E842" s="418" t="str">
        <f>VLOOKUP('전체 훈련생 평가 채점표'!$L$2,'기초데이타(작성필히)'!$A$5:$P$19,10)</f>
        <v>21.11.11~21.11.24</v>
      </c>
      <c r="F842" s="419"/>
      <c r="G842" s="420"/>
      <c r="H842" s="60" t="s">
        <v>80</v>
      </c>
      <c r="I842" s="61" t="s">
        <v>22</v>
      </c>
      <c r="J842" s="424" t="s">
        <v>81</v>
      </c>
      <c r="K842" s="425"/>
      <c r="L842" s="426"/>
    </row>
    <row r="843" spans="1:12" ht="18" customHeight="1" x14ac:dyDescent="0.3">
      <c r="A843" s="319"/>
      <c r="B843" s="319"/>
      <c r="C843" s="417"/>
      <c r="D843" s="417"/>
      <c r="E843" s="421"/>
      <c r="F843" s="422"/>
      <c r="G843" s="423"/>
      <c r="H843" s="62" t="s">
        <v>113</v>
      </c>
      <c r="I843" s="62">
        <f>VLOOKUP('전체 훈련생 평가 채점표'!$L$2,'기초데이타(작성필히)'!$A$5:$P$19,11)</f>
        <v>70</v>
      </c>
      <c r="J843" s="314" t="s">
        <v>113</v>
      </c>
      <c r="K843" s="314"/>
      <c r="L843" s="427"/>
    </row>
    <row r="844" spans="1:12" ht="18" customHeight="1" x14ac:dyDescent="0.3"/>
    <row r="845" spans="1:12" ht="18" customHeight="1" x14ac:dyDescent="0.3">
      <c r="A845" s="428" t="s">
        <v>82</v>
      </c>
      <c r="B845" s="429"/>
      <c r="C845" s="429"/>
      <c r="D845" s="431" t="s">
        <v>83</v>
      </c>
      <c r="E845" s="431"/>
      <c r="F845" s="431"/>
      <c r="G845" s="433" t="s">
        <v>84</v>
      </c>
      <c r="H845" s="434"/>
      <c r="I845" s="434"/>
      <c r="J845" s="434"/>
      <c r="K845" s="434"/>
      <c r="L845" s="435"/>
    </row>
    <row r="846" spans="1:12" ht="18" customHeight="1" x14ac:dyDescent="0.3">
      <c r="A846" s="430"/>
      <c r="B846" s="430"/>
      <c r="C846" s="430"/>
      <c r="D846" s="432"/>
      <c r="E846" s="432"/>
      <c r="F846" s="432"/>
      <c r="G846" s="436"/>
      <c r="H846" s="437"/>
      <c r="I846" s="437"/>
      <c r="J846" s="437"/>
      <c r="K846" s="437"/>
      <c r="L846" s="438"/>
    </row>
    <row r="847" spans="1:12" ht="18" customHeight="1" x14ac:dyDescent="0.3">
      <c r="A847" s="383" t="str">
        <f>$C842</f>
        <v/>
      </c>
      <c r="B847" s="439"/>
      <c r="C847" s="439"/>
      <c r="D847" s="441" t="str">
        <f>$H840</f>
        <v>이창훈</v>
      </c>
      <c r="E847" s="443" t="s">
        <v>25</v>
      </c>
      <c r="F847" s="444"/>
      <c r="G847" s="382" t="s">
        <v>85</v>
      </c>
      <c r="H847" s="447">
        <f>VLOOKUP('전체 훈련생 평가 채점표'!$L$2,'기초데이타(작성필히)'!$A$5:$P$19,13)</f>
        <v>44524</v>
      </c>
      <c r="I847" s="448"/>
      <c r="J847" s="448"/>
      <c r="K847" s="449"/>
      <c r="L847" s="391" t="s">
        <v>86</v>
      </c>
    </row>
    <row r="848" spans="1:12" ht="18" customHeight="1" x14ac:dyDescent="0.3">
      <c r="A848" s="440"/>
      <c r="B848" s="440"/>
      <c r="C848" s="440"/>
      <c r="D848" s="442"/>
      <c r="E848" s="445"/>
      <c r="F848" s="446"/>
      <c r="G848" s="384"/>
      <c r="H848" s="450"/>
      <c r="I848" s="451"/>
      <c r="J848" s="451"/>
      <c r="K848" s="452"/>
      <c r="L848" s="392"/>
    </row>
    <row r="849" spans="1:12" ht="18" customHeight="1" x14ac:dyDescent="0.3">
      <c r="A849" s="380" t="s">
        <v>87</v>
      </c>
      <c r="B849" s="380"/>
      <c r="C849" s="380"/>
      <c r="D849" s="382" t="str">
        <f>$C840</f>
        <v>[0803020911_18v3]</v>
      </c>
      <c r="E849" s="382"/>
      <c r="F849" s="382"/>
      <c r="G849" s="382" t="s">
        <v>88</v>
      </c>
      <c r="H849" s="385"/>
      <c r="I849" s="386"/>
      <c r="J849" s="386"/>
      <c r="K849" s="387"/>
      <c r="L849" s="391" t="s">
        <v>86</v>
      </c>
    </row>
    <row r="850" spans="1:12" ht="18" customHeight="1" x14ac:dyDescent="0.3">
      <c r="A850" s="381"/>
      <c r="B850" s="381"/>
      <c r="C850" s="381"/>
      <c r="D850" s="383"/>
      <c r="E850" s="383"/>
      <c r="F850" s="383"/>
      <c r="G850" s="384"/>
      <c r="H850" s="388"/>
      <c r="I850" s="389"/>
      <c r="J850" s="389"/>
      <c r="K850" s="390"/>
      <c r="L850" s="392"/>
    </row>
    <row r="851" spans="1:12" ht="18" customHeight="1" x14ac:dyDescent="0.3">
      <c r="A851" s="393" t="str">
        <f>VLOOKUP('전체 훈련생 평가 채점표'!$L$2,'기초데이타(작성필히)'!$A$5:$P$19,7)</f>
        <v>스타일가이드제작 및 시안디자인 제작2</v>
      </c>
      <c r="B851" s="393"/>
      <c r="C851" s="393"/>
      <c r="D851" s="383" t="str">
        <f>$C841</f>
        <v xml:space="preserve">  스마트문화앱UX설계</v>
      </c>
      <c r="E851" s="383"/>
      <c r="F851" s="383"/>
      <c r="G851" s="382" t="s">
        <v>89</v>
      </c>
      <c r="H851" s="385"/>
      <c r="I851" s="386"/>
      <c r="J851" s="386"/>
      <c r="K851" s="387"/>
      <c r="L851" s="391" t="s">
        <v>86</v>
      </c>
    </row>
    <row r="852" spans="1:12" ht="18" customHeight="1" x14ac:dyDescent="0.3">
      <c r="A852" s="394"/>
      <c r="B852" s="394"/>
      <c r="C852" s="394"/>
      <c r="D852" s="384"/>
      <c r="E852" s="384"/>
      <c r="F852" s="384"/>
      <c r="G852" s="384"/>
      <c r="H852" s="388"/>
      <c r="I852" s="389"/>
      <c r="J852" s="389"/>
      <c r="K852" s="390"/>
      <c r="L852" s="392"/>
    </row>
    <row r="853" spans="1:12" ht="18" customHeight="1" x14ac:dyDescent="0.3">
      <c r="A853" s="395" t="s">
        <v>90</v>
      </c>
      <c r="B853" s="396"/>
      <c r="C853" s="396"/>
      <c r="D853" s="396"/>
      <c r="E853" s="396"/>
      <c r="F853" s="397"/>
      <c r="G853" s="398" t="s">
        <v>91</v>
      </c>
      <c r="H853" s="399"/>
      <c r="I853" s="399"/>
      <c r="J853" s="399"/>
      <c r="K853" s="399"/>
      <c r="L853" s="400"/>
    </row>
    <row r="854" spans="1:12" ht="18" customHeight="1" x14ac:dyDescent="0.3">
      <c r="A854" s="395"/>
      <c r="B854" s="396"/>
      <c r="C854" s="396"/>
      <c r="D854" s="396"/>
      <c r="E854" s="396"/>
      <c r="F854" s="397"/>
      <c r="G854" s="401"/>
      <c r="H854" s="402"/>
      <c r="I854" s="402"/>
      <c r="J854" s="402"/>
      <c r="K854" s="402"/>
      <c r="L854" s="403"/>
    </row>
    <row r="855" spans="1:12" ht="18" customHeight="1" x14ac:dyDescent="0.3">
      <c r="A855" s="341" t="s">
        <v>126</v>
      </c>
      <c r="B855" s="342"/>
      <c r="C855" s="342"/>
      <c r="D855" s="342"/>
      <c r="E855" s="342"/>
      <c r="F855" s="343"/>
      <c r="G855" s="404" t="s">
        <v>92</v>
      </c>
      <c r="H855" s="406" t="s">
        <v>93</v>
      </c>
      <c r="I855" s="407"/>
      <c r="J855" s="407"/>
      <c r="K855" s="407"/>
      <c r="L855" s="408"/>
    </row>
    <row r="856" spans="1:12" ht="18" customHeight="1" x14ac:dyDescent="0.3">
      <c r="A856" s="341"/>
      <c r="B856" s="342"/>
      <c r="C856" s="342"/>
      <c r="D856" s="342"/>
      <c r="E856" s="342"/>
      <c r="F856" s="343"/>
      <c r="G856" s="405"/>
      <c r="H856" s="409"/>
      <c r="I856" s="410"/>
      <c r="J856" s="410"/>
      <c r="K856" s="410"/>
      <c r="L856" s="411"/>
    </row>
    <row r="857" spans="1:12" ht="18" customHeight="1" x14ac:dyDescent="0.3">
      <c r="A857" s="341"/>
      <c r="B857" s="342"/>
      <c r="C857" s="342"/>
      <c r="D857" s="342"/>
      <c r="E857" s="342"/>
      <c r="F857" s="343"/>
      <c r="G857" s="323" t="str">
        <f>IF($J875&gt;=90,"○","")</f>
        <v/>
      </c>
      <c r="H857" s="326" t="s">
        <v>94</v>
      </c>
      <c r="I857" s="327"/>
      <c r="J857" s="327"/>
      <c r="K857" s="327"/>
      <c r="L857" s="328"/>
    </row>
    <row r="858" spans="1:12" ht="18" customHeight="1" x14ac:dyDescent="0.3">
      <c r="A858" s="341"/>
      <c r="B858" s="342"/>
      <c r="C858" s="342"/>
      <c r="D858" s="342"/>
      <c r="E858" s="342"/>
      <c r="F858" s="343"/>
      <c r="G858" s="324"/>
      <c r="H858" s="329"/>
      <c r="I858" s="330"/>
      <c r="J858" s="330"/>
      <c r="K858" s="330"/>
      <c r="L858" s="331"/>
    </row>
    <row r="859" spans="1:12" ht="18" customHeight="1" x14ac:dyDescent="0.3">
      <c r="A859" s="341"/>
      <c r="B859" s="342"/>
      <c r="C859" s="342"/>
      <c r="D859" s="342"/>
      <c r="E859" s="342"/>
      <c r="F859" s="343"/>
      <c r="G859" s="325"/>
      <c r="H859" s="332"/>
      <c r="I859" s="333"/>
      <c r="J859" s="333"/>
      <c r="K859" s="333"/>
      <c r="L859" s="334"/>
    </row>
    <row r="860" spans="1:12" ht="18" customHeight="1" x14ac:dyDescent="0.3">
      <c r="A860" s="341"/>
      <c r="B860" s="342"/>
      <c r="C860" s="342"/>
      <c r="D860" s="342"/>
      <c r="E860" s="342"/>
      <c r="F860" s="343"/>
      <c r="G860" s="323" t="str">
        <f>IF(AND($J875&lt;=89.9,$J875&gt;=80),"○","")</f>
        <v/>
      </c>
      <c r="H860" s="326" t="s">
        <v>95</v>
      </c>
      <c r="I860" s="327"/>
      <c r="J860" s="327"/>
      <c r="K860" s="327"/>
      <c r="L860" s="328"/>
    </row>
    <row r="861" spans="1:12" ht="18" customHeight="1" x14ac:dyDescent="0.3">
      <c r="A861" s="341"/>
      <c r="B861" s="342"/>
      <c r="C861" s="342"/>
      <c r="D861" s="342"/>
      <c r="E861" s="342"/>
      <c r="F861" s="343"/>
      <c r="G861" s="324"/>
      <c r="H861" s="329"/>
      <c r="I861" s="330"/>
      <c r="J861" s="330"/>
      <c r="K861" s="330"/>
      <c r="L861" s="331"/>
    </row>
    <row r="862" spans="1:12" ht="18" customHeight="1" x14ac:dyDescent="0.3">
      <c r="A862" s="341"/>
      <c r="B862" s="342"/>
      <c r="C862" s="342"/>
      <c r="D862" s="342"/>
      <c r="E862" s="342"/>
      <c r="F862" s="343"/>
      <c r="G862" s="325"/>
      <c r="H862" s="332"/>
      <c r="I862" s="333"/>
      <c r="J862" s="333"/>
      <c r="K862" s="333"/>
      <c r="L862" s="334"/>
    </row>
    <row r="863" spans="1:12" ht="18" customHeight="1" x14ac:dyDescent="0.3">
      <c r="A863" s="341"/>
      <c r="B863" s="342"/>
      <c r="C863" s="342"/>
      <c r="D863" s="342"/>
      <c r="E863" s="342"/>
      <c r="F863" s="343"/>
      <c r="G863" s="323" t="str">
        <f>IF(AND($J875&lt;=79.9,$J875&gt;=70),"○","")</f>
        <v/>
      </c>
      <c r="H863" s="326" t="s">
        <v>96</v>
      </c>
      <c r="I863" s="327"/>
      <c r="J863" s="327"/>
      <c r="K863" s="327"/>
      <c r="L863" s="328"/>
    </row>
    <row r="864" spans="1:12" ht="18" customHeight="1" x14ac:dyDescent="0.3">
      <c r="A864" s="341"/>
      <c r="B864" s="342"/>
      <c r="C864" s="342"/>
      <c r="D864" s="342"/>
      <c r="E864" s="342"/>
      <c r="F864" s="343"/>
      <c r="G864" s="324"/>
      <c r="H864" s="329"/>
      <c r="I864" s="330"/>
      <c r="J864" s="330"/>
      <c r="K864" s="330"/>
      <c r="L864" s="331"/>
    </row>
    <row r="865" spans="1:12" ht="18" customHeight="1" x14ac:dyDescent="0.3">
      <c r="A865" s="344" t="str">
        <f>"- "&amp;'전체 훈련생 평가 채점표'!$G$8</f>
        <v>- 0</v>
      </c>
      <c r="B865" s="345"/>
      <c r="C865" s="345"/>
      <c r="D865" s="345"/>
      <c r="E865" s="345"/>
      <c r="F865" s="346"/>
      <c r="G865" s="325"/>
      <c r="H865" s="332"/>
      <c r="I865" s="333"/>
      <c r="J865" s="333"/>
      <c r="K865" s="333"/>
      <c r="L865" s="334"/>
    </row>
    <row r="866" spans="1:12" ht="18" customHeight="1" x14ac:dyDescent="0.3">
      <c r="A866" s="344" t="str">
        <f>"- "&amp;'전체 훈련생 평가 채점표'!$F$8</f>
        <v>- 포트폴리오</v>
      </c>
      <c r="B866" s="345"/>
      <c r="C866" s="345"/>
      <c r="D866" s="345"/>
      <c r="E866" s="345"/>
      <c r="F866" s="346"/>
      <c r="G866" s="323" t="str">
        <f>IF(AND($J875&lt;=69.9,$J875&gt;=60),"○","")</f>
        <v/>
      </c>
      <c r="H866" s="326" t="s">
        <v>97</v>
      </c>
      <c r="I866" s="327"/>
      <c r="J866" s="327"/>
      <c r="K866" s="327"/>
      <c r="L866" s="328"/>
    </row>
    <row r="867" spans="1:12" ht="18" customHeight="1" x14ac:dyDescent="0.3">
      <c r="A867" s="347"/>
      <c r="B867" s="348"/>
      <c r="C867" s="348"/>
      <c r="D867" s="348"/>
      <c r="E867" s="348"/>
      <c r="F867" s="349"/>
      <c r="G867" s="324"/>
      <c r="H867" s="329"/>
      <c r="I867" s="330"/>
      <c r="J867" s="330"/>
      <c r="K867" s="330"/>
      <c r="L867" s="331"/>
    </row>
    <row r="868" spans="1:12" ht="18" customHeight="1" x14ac:dyDescent="0.3">
      <c r="A868" s="347"/>
      <c r="B868" s="348"/>
      <c r="C868" s="348"/>
      <c r="D868" s="348"/>
      <c r="E868" s="348"/>
      <c r="F868" s="349"/>
      <c r="G868" s="325"/>
      <c r="H868" s="332"/>
      <c r="I868" s="333"/>
      <c r="J868" s="333"/>
      <c r="K868" s="333"/>
      <c r="L868" s="334"/>
    </row>
    <row r="869" spans="1:12" ht="18" customHeight="1" x14ac:dyDescent="0.3">
      <c r="A869" s="347"/>
      <c r="B869" s="348"/>
      <c r="C869" s="348"/>
      <c r="D869" s="348"/>
      <c r="E869" s="348"/>
      <c r="F869" s="349"/>
      <c r="G869" s="323" t="str">
        <f>IF($J875&lt;=59.9,"○","")</f>
        <v>○</v>
      </c>
      <c r="H869" s="326" t="s">
        <v>98</v>
      </c>
      <c r="I869" s="327"/>
      <c r="J869" s="327"/>
      <c r="K869" s="327"/>
      <c r="L869" s="328"/>
    </row>
    <row r="870" spans="1:12" ht="18" customHeight="1" x14ac:dyDescent="0.3">
      <c r="A870" s="347"/>
      <c r="B870" s="348"/>
      <c r="C870" s="348"/>
      <c r="D870" s="348"/>
      <c r="E870" s="348"/>
      <c r="F870" s="349"/>
      <c r="G870" s="324"/>
      <c r="H870" s="329"/>
      <c r="I870" s="330"/>
      <c r="J870" s="330"/>
      <c r="K870" s="330"/>
      <c r="L870" s="331"/>
    </row>
    <row r="871" spans="1:12" ht="18" customHeight="1" x14ac:dyDescent="0.3">
      <c r="A871" s="347"/>
      <c r="B871" s="348"/>
      <c r="C871" s="348"/>
      <c r="D871" s="348"/>
      <c r="E871" s="348"/>
      <c r="F871" s="349"/>
      <c r="G871" s="325"/>
      <c r="H871" s="332"/>
      <c r="I871" s="333"/>
      <c r="J871" s="333"/>
      <c r="K871" s="333"/>
      <c r="L871" s="334"/>
    </row>
    <row r="872" spans="1:12" ht="18" customHeight="1" x14ac:dyDescent="0.3">
      <c r="A872" s="347"/>
      <c r="B872" s="348"/>
      <c r="C872" s="348"/>
      <c r="D872" s="348"/>
      <c r="E872" s="348"/>
      <c r="F872" s="349"/>
      <c r="G872" s="335" t="s">
        <v>99</v>
      </c>
      <c r="H872" s="336"/>
      <c r="I872" s="336"/>
      <c r="J872" s="336"/>
      <c r="K872" s="336"/>
      <c r="L872" s="337"/>
    </row>
    <row r="873" spans="1:12" ht="18" customHeight="1" x14ac:dyDescent="0.3">
      <c r="A873" s="350"/>
      <c r="B873" s="351"/>
      <c r="C873" s="351"/>
      <c r="D873" s="351"/>
      <c r="E873" s="351"/>
      <c r="F873" s="352"/>
      <c r="G873" s="338"/>
      <c r="H873" s="339"/>
      <c r="I873" s="339"/>
      <c r="J873" s="339"/>
      <c r="K873" s="339"/>
      <c r="L873" s="340"/>
    </row>
    <row r="874" spans="1:12" ht="18" customHeight="1" x14ac:dyDescent="0.3">
      <c r="A874" s="353">
        <f>A830</f>
        <v>0</v>
      </c>
      <c r="B874" s="354"/>
      <c r="C874" s="355"/>
      <c r="D874" s="356"/>
      <c r="E874" s="357"/>
      <c r="F874" s="357"/>
      <c r="G874" s="357"/>
      <c r="H874" s="357"/>
      <c r="I874" s="358"/>
      <c r="J874" s="359" t="s">
        <v>125</v>
      </c>
      <c r="K874" s="360"/>
      <c r="L874" s="361"/>
    </row>
    <row r="875" spans="1:12" ht="18" customHeight="1" x14ac:dyDescent="0.3">
      <c r="A875" s="362" t="str">
        <f>A831</f>
        <v>포트폴리오</v>
      </c>
      <c r="B875" s="363"/>
      <c r="C875" s="364"/>
      <c r="D875" s="365" t="str">
        <f>'전체 훈련생 평가 채점표'!F28</f>
        <v/>
      </c>
      <c r="E875" s="366"/>
      <c r="F875" s="366"/>
      <c r="G875" s="366"/>
      <c r="H875" s="366"/>
      <c r="I875" s="367"/>
      <c r="J875" s="368">
        <f>IFERROR((D874+D875+D876),0)</f>
        <v>0</v>
      </c>
      <c r="K875" s="369"/>
      <c r="L875" s="370"/>
    </row>
    <row r="876" spans="1:12" ht="18" customHeight="1" x14ac:dyDescent="0.3">
      <c r="A876" s="374">
        <f>A832</f>
        <v>0</v>
      </c>
      <c r="B876" s="375"/>
      <c r="C876" s="376"/>
      <c r="D876" s="377" t="str">
        <f>'전체 훈련생 평가 채점표'!G28</f>
        <v/>
      </c>
      <c r="E876" s="378"/>
      <c r="F876" s="378"/>
      <c r="G876" s="378"/>
      <c r="H876" s="378"/>
      <c r="I876" s="379"/>
      <c r="J876" s="371"/>
      <c r="K876" s="372"/>
      <c r="L876" s="373"/>
    </row>
    <row r="877" spans="1:12" ht="18" customHeight="1" x14ac:dyDescent="0.3">
      <c r="A877" s="303" t="s">
        <v>11</v>
      </c>
      <c r="B877" s="304"/>
      <c r="C877" s="304"/>
      <c r="D877" s="304"/>
      <c r="E877" s="304"/>
      <c r="F877" s="304"/>
      <c r="G877" s="304"/>
      <c r="H877" s="304"/>
      <c r="I877" s="304"/>
      <c r="J877" s="304"/>
      <c r="K877" s="304"/>
      <c r="L877" s="305"/>
    </row>
    <row r="878" spans="1:12" ht="18" customHeight="1" x14ac:dyDescent="0.3">
      <c r="A878" s="306" t="s">
        <v>100</v>
      </c>
      <c r="B878" s="307"/>
      <c r="C878" s="307"/>
      <c r="D878" s="307"/>
      <c r="E878" s="307"/>
      <c r="F878" s="307"/>
      <c r="G878" s="307"/>
      <c r="H878" s="307"/>
      <c r="I878" s="307"/>
      <c r="J878" s="307"/>
      <c r="K878" s="307"/>
      <c r="L878" s="308"/>
    </row>
    <row r="879" spans="1:12" ht="18" customHeight="1" x14ac:dyDescent="0.3">
      <c r="A879" s="309" t="s">
        <v>92</v>
      </c>
      <c r="B879" s="309"/>
      <c r="C879" s="309"/>
      <c r="D879" s="310" t="s">
        <v>101</v>
      </c>
      <c r="E879" s="311"/>
      <c r="F879" s="310" t="s">
        <v>102</v>
      </c>
      <c r="G879" s="312"/>
      <c r="H879" s="311"/>
      <c r="I879" s="313">
        <f>$J875</f>
        <v>0</v>
      </c>
      <c r="J879" s="313"/>
      <c r="K879" s="315" t="s">
        <v>103</v>
      </c>
      <c r="L879" s="316"/>
    </row>
    <row r="880" spans="1:12" ht="18" customHeight="1" x14ac:dyDescent="0.3">
      <c r="A880" s="319" t="s">
        <v>104</v>
      </c>
      <c r="B880" s="319"/>
      <c r="C880" s="319"/>
      <c r="D880" s="320" t="s">
        <v>105</v>
      </c>
      <c r="E880" s="321"/>
      <c r="F880" s="320" t="s">
        <v>106</v>
      </c>
      <c r="G880" s="322"/>
      <c r="H880" s="321"/>
      <c r="I880" s="314"/>
      <c r="J880" s="314"/>
      <c r="K880" s="317"/>
      <c r="L880" s="318"/>
    </row>
    <row r="881" spans="1:12" ht="18" customHeight="1" x14ac:dyDescent="0.3">
      <c r="A881" s="453" t="str">
        <f>MID(VLOOKUP('전체 훈련생 평가 채점표'!$L$2,'기초데이타(작성필히)'!$A$5:$P$19,9),18,50)&amp;" 수행평가"</f>
        <v xml:space="preserve">  스마트문화앱UX설계 수행평가</v>
      </c>
      <c r="B881" s="453"/>
      <c r="C881" s="453"/>
      <c r="D881" s="453"/>
      <c r="E881" s="453"/>
      <c r="F881" s="453"/>
      <c r="G881" s="453"/>
      <c r="H881" s="453"/>
      <c r="I881" s="453"/>
      <c r="J881" s="453"/>
      <c r="K881" s="453"/>
      <c r="L881" s="453"/>
    </row>
    <row r="882" spans="1:12" ht="18" customHeight="1" x14ac:dyDescent="0.3">
      <c r="A882" s="309" t="s">
        <v>16</v>
      </c>
      <c r="B882" s="454">
        <f>VLOOKUP('전체 훈련생 평가 채점표'!$L$2,'기초데이타(작성필히)'!$A$5:$P$19,3)</f>
        <v>2021</v>
      </c>
      <c r="C882" s="454" t="s">
        <v>17</v>
      </c>
      <c r="D882" s="455" t="str">
        <f>VLOOKUP('전체 훈련생 평가 채점표'!$L$2,'기초데이타(작성필히)'!$A$5:$P$19,4)</f>
        <v>[디지털디자인]반응형 웹디자인(UIUX) &amp; 웹퍼블리셔 디지털 실무 양성과정 A-5</v>
      </c>
      <c r="E882" s="455"/>
      <c r="F882" s="455"/>
      <c r="G882" s="454" t="s">
        <v>18</v>
      </c>
      <c r="H882" s="359" t="str">
        <f>VLOOKUP('전체 훈련생 평가 채점표'!$L$2,'기초데이타(작성필히)'!$A$5:$P$19,5)</f>
        <v>21.08.31 ~ 22.02.07</v>
      </c>
      <c r="I882" s="360"/>
      <c r="J882" s="361"/>
      <c r="K882" s="460" t="s">
        <v>78</v>
      </c>
      <c r="L882" s="309" t="str">
        <f>VLOOKUP('전체 훈련생 평가 채점표'!$L$2,'기초데이타(작성필히)'!$A$5:$P$19,6)</f>
        <v>760H</v>
      </c>
    </row>
    <row r="883" spans="1:12" ht="18" customHeight="1" x14ac:dyDescent="0.3">
      <c r="A883" s="412"/>
      <c r="B883" s="413"/>
      <c r="C883" s="413"/>
      <c r="D883" s="456"/>
      <c r="E883" s="456"/>
      <c r="F883" s="456"/>
      <c r="G883" s="413"/>
      <c r="H883" s="457"/>
      <c r="I883" s="458"/>
      <c r="J883" s="459"/>
      <c r="K883" s="461"/>
      <c r="L883" s="412"/>
    </row>
    <row r="884" spans="1:12" ht="18" customHeight="1" x14ac:dyDescent="0.3">
      <c r="A884" s="412" t="s">
        <v>23</v>
      </c>
      <c r="B884" s="412"/>
      <c r="C884" s="412" t="str">
        <f>LEFT(VLOOKUP('전체 훈련생 평가 채점표'!$L$2,'기초데이타(작성필히)'!$A$5:$P$19,9),17)</f>
        <v>[0803020911_18v3]</v>
      </c>
      <c r="D884" s="412"/>
      <c r="E884" s="412"/>
      <c r="F884" s="412"/>
      <c r="G884" s="413" t="s">
        <v>24</v>
      </c>
      <c r="H884" s="412" t="str">
        <f>VLOOKUP('전체 훈련생 평가 채점표'!$L$2,'기초데이타(작성필히)'!$A$5:$P$19,12)</f>
        <v>이창훈</v>
      </c>
      <c r="I884" s="412"/>
      <c r="J884" s="412"/>
      <c r="K884" s="414"/>
      <c r="L884" s="415" t="s">
        <v>25</v>
      </c>
    </row>
    <row r="885" spans="1:12" ht="18" customHeight="1" x14ac:dyDescent="0.3">
      <c r="A885" s="412"/>
      <c r="B885" s="412"/>
      <c r="C885" s="412" t="str">
        <f>MID(VLOOKUP('전체 훈련생 평가 채점표'!$L$2,'기초데이타(작성필히)'!$A$5:$P$19,9),18,50)</f>
        <v xml:space="preserve">  스마트문화앱UX설계</v>
      </c>
      <c r="D885" s="412"/>
      <c r="E885" s="412"/>
      <c r="F885" s="412"/>
      <c r="G885" s="413"/>
      <c r="H885" s="412"/>
      <c r="I885" s="412"/>
      <c r="J885" s="412"/>
      <c r="K885" s="414"/>
      <c r="L885" s="416"/>
    </row>
    <row r="886" spans="1:12" ht="18" customHeight="1" x14ac:dyDescent="0.3">
      <c r="A886" s="412" t="s">
        <v>79</v>
      </c>
      <c r="B886" s="412"/>
      <c r="C886" s="413" t="str">
        <f>'전체 훈련생 평가 채점표'!B29</f>
        <v/>
      </c>
      <c r="D886" s="413" t="s">
        <v>21</v>
      </c>
      <c r="E886" s="418" t="str">
        <f>VLOOKUP('전체 훈련생 평가 채점표'!$L$2,'기초데이타(작성필히)'!$A$5:$P$19,10)</f>
        <v>21.11.11~21.11.24</v>
      </c>
      <c r="F886" s="419"/>
      <c r="G886" s="420"/>
      <c r="H886" s="60" t="s">
        <v>80</v>
      </c>
      <c r="I886" s="119" t="s">
        <v>22</v>
      </c>
      <c r="J886" s="424" t="s">
        <v>81</v>
      </c>
      <c r="K886" s="425"/>
      <c r="L886" s="426"/>
    </row>
    <row r="887" spans="1:12" ht="18" customHeight="1" x14ac:dyDescent="0.3">
      <c r="A887" s="319"/>
      <c r="B887" s="319"/>
      <c r="C887" s="417"/>
      <c r="D887" s="417"/>
      <c r="E887" s="421"/>
      <c r="F887" s="422"/>
      <c r="G887" s="423"/>
      <c r="H887" s="120" t="s">
        <v>40</v>
      </c>
      <c r="I887" s="120">
        <f>VLOOKUP('전체 훈련생 평가 채점표'!$L$2,'기초데이타(작성필히)'!$A$5:$P$19,11)</f>
        <v>70</v>
      </c>
      <c r="J887" s="314" t="s">
        <v>40</v>
      </c>
      <c r="K887" s="314"/>
      <c r="L887" s="427"/>
    </row>
    <row r="888" spans="1:12" ht="18" customHeight="1" x14ac:dyDescent="0.3"/>
    <row r="889" spans="1:12" ht="18" customHeight="1" x14ac:dyDescent="0.3">
      <c r="A889" s="428" t="s">
        <v>82</v>
      </c>
      <c r="B889" s="429"/>
      <c r="C889" s="429"/>
      <c r="D889" s="431" t="s">
        <v>83</v>
      </c>
      <c r="E889" s="431"/>
      <c r="F889" s="431"/>
      <c r="G889" s="433" t="s">
        <v>84</v>
      </c>
      <c r="H889" s="434"/>
      <c r="I889" s="434"/>
      <c r="J889" s="434"/>
      <c r="K889" s="434"/>
      <c r="L889" s="435"/>
    </row>
    <row r="890" spans="1:12" ht="18" customHeight="1" x14ac:dyDescent="0.3">
      <c r="A890" s="430"/>
      <c r="B890" s="430"/>
      <c r="C890" s="430"/>
      <c r="D890" s="432"/>
      <c r="E890" s="432"/>
      <c r="F890" s="432"/>
      <c r="G890" s="436"/>
      <c r="H890" s="437"/>
      <c r="I890" s="437"/>
      <c r="J890" s="437"/>
      <c r="K890" s="437"/>
      <c r="L890" s="438"/>
    </row>
    <row r="891" spans="1:12" ht="18" customHeight="1" x14ac:dyDescent="0.3">
      <c r="A891" s="383" t="str">
        <f>$C886</f>
        <v/>
      </c>
      <c r="B891" s="439"/>
      <c r="C891" s="439"/>
      <c r="D891" s="441" t="str">
        <f>$H884</f>
        <v>이창훈</v>
      </c>
      <c r="E891" s="443" t="s">
        <v>25</v>
      </c>
      <c r="F891" s="444"/>
      <c r="G891" s="382" t="s">
        <v>85</v>
      </c>
      <c r="H891" s="447">
        <f>VLOOKUP('전체 훈련생 평가 채점표'!$L$2,'기초데이타(작성필히)'!$A$5:$P$19,13)</f>
        <v>44524</v>
      </c>
      <c r="I891" s="448"/>
      <c r="J891" s="448"/>
      <c r="K891" s="449"/>
      <c r="L891" s="391" t="s">
        <v>86</v>
      </c>
    </row>
    <row r="892" spans="1:12" ht="18" customHeight="1" x14ac:dyDescent="0.3">
      <c r="A892" s="440"/>
      <c r="B892" s="440"/>
      <c r="C892" s="440"/>
      <c r="D892" s="442"/>
      <c r="E892" s="445"/>
      <c r="F892" s="446"/>
      <c r="G892" s="384"/>
      <c r="H892" s="450"/>
      <c r="I892" s="451"/>
      <c r="J892" s="451"/>
      <c r="K892" s="452"/>
      <c r="L892" s="392"/>
    </row>
    <row r="893" spans="1:12" ht="18" customHeight="1" x14ac:dyDescent="0.3">
      <c r="A893" s="380" t="s">
        <v>87</v>
      </c>
      <c r="B893" s="380"/>
      <c r="C893" s="380"/>
      <c r="D893" s="382" t="str">
        <f>$C884</f>
        <v>[0803020911_18v3]</v>
      </c>
      <c r="E893" s="382"/>
      <c r="F893" s="382"/>
      <c r="G893" s="382" t="s">
        <v>88</v>
      </c>
      <c r="H893" s="385"/>
      <c r="I893" s="386"/>
      <c r="J893" s="386"/>
      <c r="K893" s="387"/>
      <c r="L893" s="391" t="s">
        <v>86</v>
      </c>
    </row>
    <row r="894" spans="1:12" ht="18" customHeight="1" x14ac:dyDescent="0.3">
      <c r="A894" s="381"/>
      <c r="B894" s="381"/>
      <c r="C894" s="381"/>
      <c r="D894" s="383"/>
      <c r="E894" s="383"/>
      <c r="F894" s="383"/>
      <c r="G894" s="384"/>
      <c r="H894" s="388"/>
      <c r="I894" s="389"/>
      <c r="J894" s="389"/>
      <c r="K894" s="390"/>
      <c r="L894" s="392"/>
    </row>
    <row r="895" spans="1:12" ht="18" customHeight="1" x14ac:dyDescent="0.3">
      <c r="A895" s="393" t="str">
        <f>VLOOKUP('전체 훈련생 평가 채점표'!$L$2,'기초데이타(작성필히)'!$A$5:$P$19,7)</f>
        <v>스타일가이드제작 및 시안디자인 제작2</v>
      </c>
      <c r="B895" s="393"/>
      <c r="C895" s="393"/>
      <c r="D895" s="383" t="str">
        <f>$C885</f>
        <v xml:space="preserve">  스마트문화앱UX설계</v>
      </c>
      <c r="E895" s="383"/>
      <c r="F895" s="383"/>
      <c r="G895" s="382" t="s">
        <v>89</v>
      </c>
      <c r="H895" s="385"/>
      <c r="I895" s="386"/>
      <c r="J895" s="386"/>
      <c r="K895" s="387"/>
      <c r="L895" s="391" t="s">
        <v>86</v>
      </c>
    </row>
    <row r="896" spans="1:12" ht="18" customHeight="1" x14ac:dyDescent="0.3">
      <c r="A896" s="394"/>
      <c r="B896" s="394"/>
      <c r="C896" s="394"/>
      <c r="D896" s="384"/>
      <c r="E896" s="384"/>
      <c r="F896" s="384"/>
      <c r="G896" s="384"/>
      <c r="H896" s="388"/>
      <c r="I896" s="389"/>
      <c r="J896" s="389"/>
      <c r="K896" s="390"/>
      <c r="L896" s="392"/>
    </row>
    <row r="897" spans="1:12" ht="18" customHeight="1" x14ac:dyDescent="0.3">
      <c r="A897" s="395" t="s">
        <v>90</v>
      </c>
      <c r="B897" s="396"/>
      <c r="C897" s="396"/>
      <c r="D897" s="396"/>
      <c r="E897" s="396"/>
      <c r="F897" s="397"/>
      <c r="G897" s="398" t="s">
        <v>91</v>
      </c>
      <c r="H897" s="399"/>
      <c r="I897" s="399"/>
      <c r="J897" s="399"/>
      <c r="K897" s="399"/>
      <c r="L897" s="400"/>
    </row>
    <row r="898" spans="1:12" ht="18" customHeight="1" x14ac:dyDescent="0.3">
      <c r="A898" s="395"/>
      <c r="B898" s="396"/>
      <c r="C898" s="396"/>
      <c r="D898" s="396"/>
      <c r="E898" s="396"/>
      <c r="F898" s="397"/>
      <c r="G898" s="401"/>
      <c r="H898" s="402"/>
      <c r="I898" s="402"/>
      <c r="J898" s="402"/>
      <c r="K898" s="402"/>
      <c r="L898" s="403"/>
    </row>
    <row r="899" spans="1:12" ht="18" customHeight="1" x14ac:dyDescent="0.3">
      <c r="A899" s="341" t="s">
        <v>126</v>
      </c>
      <c r="B899" s="342"/>
      <c r="C899" s="342"/>
      <c r="D899" s="342"/>
      <c r="E899" s="342"/>
      <c r="F899" s="343"/>
      <c r="G899" s="404" t="s">
        <v>92</v>
      </c>
      <c r="H899" s="406" t="s">
        <v>93</v>
      </c>
      <c r="I899" s="407"/>
      <c r="J899" s="407"/>
      <c r="K899" s="407"/>
      <c r="L899" s="408"/>
    </row>
    <row r="900" spans="1:12" ht="18" customHeight="1" x14ac:dyDescent="0.3">
      <c r="A900" s="341"/>
      <c r="B900" s="342"/>
      <c r="C900" s="342"/>
      <c r="D900" s="342"/>
      <c r="E900" s="342"/>
      <c r="F900" s="343"/>
      <c r="G900" s="405"/>
      <c r="H900" s="409"/>
      <c r="I900" s="410"/>
      <c r="J900" s="410"/>
      <c r="K900" s="410"/>
      <c r="L900" s="411"/>
    </row>
    <row r="901" spans="1:12" ht="18" customHeight="1" x14ac:dyDescent="0.3">
      <c r="A901" s="341"/>
      <c r="B901" s="342"/>
      <c r="C901" s="342"/>
      <c r="D901" s="342"/>
      <c r="E901" s="342"/>
      <c r="F901" s="343"/>
      <c r="G901" s="323" t="str">
        <f>IF($J919&gt;=90,"○","")</f>
        <v/>
      </c>
      <c r="H901" s="326" t="s">
        <v>94</v>
      </c>
      <c r="I901" s="327"/>
      <c r="J901" s="327"/>
      <c r="K901" s="327"/>
      <c r="L901" s="328"/>
    </row>
    <row r="902" spans="1:12" ht="18" customHeight="1" x14ac:dyDescent="0.3">
      <c r="A902" s="341"/>
      <c r="B902" s="342"/>
      <c r="C902" s="342"/>
      <c r="D902" s="342"/>
      <c r="E902" s="342"/>
      <c r="F902" s="343"/>
      <c r="G902" s="324"/>
      <c r="H902" s="329"/>
      <c r="I902" s="330"/>
      <c r="J902" s="330"/>
      <c r="K902" s="330"/>
      <c r="L902" s="331"/>
    </row>
    <row r="903" spans="1:12" ht="18" customHeight="1" x14ac:dyDescent="0.3">
      <c r="A903" s="341"/>
      <c r="B903" s="342"/>
      <c r="C903" s="342"/>
      <c r="D903" s="342"/>
      <c r="E903" s="342"/>
      <c r="F903" s="343"/>
      <c r="G903" s="325"/>
      <c r="H903" s="332"/>
      <c r="I903" s="333"/>
      <c r="J903" s="333"/>
      <c r="K903" s="333"/>
      <c r="L903" s="334"/>
    </row>
    <row r="904" spans="1:12" ht="18" customHeight="1" x14ac:dyDescent="0.3">
      <c r="A904" s="341"/>
      <c r="B904" s="342"/>
      <c r="C904" s="342"/>
      <c r="D904" s="342"/>
      <c r="E904" s="342"/>
      <c r="F904" s="343"/>
      <c r="G904" s="323" t="str">
        <f>IF(AND($J919&lt;=89.9,$J919&gt;=80),"○","")</f>
        <v/>
      </c>
      <c r="H904" s="326" t="s">
        <v>95</v>
      </c>
      <c r="I904" s="327"/>
      <c r="J904" s="327"/>
      <c r="K904" s="327"/>
      <c r="L904" s="328"/>
    </row>
    <row r="905" spans="1:12" ht="18" customHeight="1" x14ac:dyDescent="0.3">
      <c r="A905" s="341"/>
      <c r="B905" s="342"/>
      <c r="C905" s="342"/>
      <c r="D905" s="342"/>
      <c r="E905" s="342"/>
      <c r="F905" s="343"/>
      <c r="G905" s="324"/>
      <c r="H905" s="329"/>
      <c r="I905" s="330"/>
      <c r="J905" s="330"/>
      <c r="K905" s="330"/>
      <c r="L905" s="331"/>
    </row>
    <row r="906" spans="1:12" ht="18" customHeight="1" x14ac:dyDescent="0.3">
      <c r="A906" s="341"/>
      <c r="B906" s="342"/>
      <c r="C906" s="342"/>
      <c r="D906" s="342"/>
      <c r="E906" s="342"/>
      <c r="F906" s="343"/>
      <c r="G906" s="325"/>
      <c r="H906" s="332"/>
      <c r="I906" s="333"/>
      <c r="J906" s="333"/>
      <c r="K906" s="333"/>
      <c r="L906" s="334"/>
    </row>
    <row r="907" spans="1:12" ht="18" customHeight="1" x14ac:dyDescent="0.3">
      <c r="A907" s="341"/>
      <c r="B907" s="342"/>
      <c r="C907" s="342"/>
      <c r="D907" s="342"/>
      <c r="E907" s="342"/>
      <c r="F907" s="343"/>
      <c r="G907" s="323" t="str">
        <f>IF(AND($J919&lt;=79.9,$J919&gt;=70),"○","")</f>
        <v/>
      </c>
      <c r="H907" s="326" t="s">
        <v>96</v>
      </c>
      <c r="I907" s="327"/>
      <c r="J907" s="327"/>
      <c r="K907" s="327"/>
      <c r="L907" s="328"/>
    </row>
    <row r="908" spans="1:12" ht="18" customHeight="1" x14ac:dyDescent="0.3">
      <c r="A908" s="341"/>
      <c r="B908" s="342"/>
      <c r="C908" s="342"/>
      <c r="D908" s="342"/>
      <c r="E908" s="342"/>
      <c r="F908" s="343"/>
      <c r="G908" s="324"/>
      <c r="H908" s="329"/>
      <c r="I908" s="330"/>
      <c r="J908" s="330"/>
      <c r="K908" s="330"/>
      <c r="L908" s="331"/>
    </row>
    <row r="909" spans="1:12" ht="18" customHeight="1" x14ac:dyDescent="0.3">
      <c r="A909" s="344" t="str">
        <f>"- "&amp;'전체 훈련생 평가 채점표'!$G$8</f>
        <v>- 0</v>
      </c>
      <c r="B909" s="345"/>
      <c r="C909" s="345"/>
      <c r="D909" s="345"/>
      <c r="E909" s="345"/>
      <c r="F909" s="346"/>
      <c r="G909" s="325"/>
      <c r="H909" s="332"/>
      <c r="I909" s="333"/>
      <c r="J909" s="333"/>
      <c r="K909" s="333"/>
      <c r="L909" s="334"/>
    </row>
    <row r="910" spans="1:12" ht="18" customHeight="1" x14ac:dyDescent="0.3">
      <c r="A910" s="344" t="str">
        <f>"- "&amp;'전체 훈련생 평가 채점표'!$F$8</f>
        <v>- 포트폴리오</v>
      </c>
      <c r="B910" s="345"/>
      <c r="C910" s="345"/>
      <c r="D910" s="345"/>
      <c r="E910" s="345"/>
      <c r="F910" s="346"/>
      <c r="G910" s="323" t="str">
        <f>IF(AND($J919&lt;=69.9,$J919&gt;=60),"○","")</f>
        <v/>
      </c>
      <c r="H910" s="326" t="s">
        <v>97</v>
      </c>
      <c r="I910" s="327"/>
      <c r="J910" s="327"/>
      <c r="K910" s="327"/>
      <c r="L910" s="328"/>
    </row>
    <row r="911" spans="1:12" ht="18" customHeight="1" x14ac:dyDescent="0.3">
      <c r="A911" s="347"/>
      <c r="B911" s="348"/>
      <c r="C911" s="348"/>
      <c r="D911" s="348"/>
      <c r="E911" s="348"/>
      <c r="F911" s="349"/>
      <c r="G911" s="324"/>
      <c r="H911" s="329"/>
      <c r="I911" s="330"/>
      <c r="J911" s="330"/>
      <c r="K911" s="330"/>
      <c r="L911" s="331"/>
    </row>
    <row r="912" spans="1:12" ht="18" customHeight="1" x14ac:dyDescent="0.3">
      <c r="A912" s="347"/>
      <c r="B912" s="348"/>
      <c r="C912" s="348"/>
      <c r="D912" s="348"/>
      <c r="E912" s="348"/>
      <c r="F912" s="349"/>
      <c r="G912" s="325"/>
      <c r="H912" s="332"/>
      <c r="I912" s="333"/>
      <c r="J912" s="333"/>
      <c r="K912" s="333"/>
      <c r="L912" s="334"/>
    </row>
    <row r="913" spans="1:12" ht="18" customHeight="1" x14ac:dyDescent="0.3">
      <c r="A913" s="347"/>
      <c r="B913" s="348"/>
      <c r="C913" s="348"/>
      <c r="D913" s="348"/>
      <c r="E913" s="348"/>
      <c r="F913" s="349"/>
      <c r="G913" s="323" t="str">
        <f>IF($J919&lt;=59.9,"○","")</f>
        <v>○</v>
      </c>
      <c r="H913" s="326" t="s">
        <v>98</v>
      </c>
      <c r="I913" s="327"/>
      <c r="J913" s="327"/>
      <c r="K913" s="327"/>
      <c r="L913" s="328"/>
    </row>
    <row r="914" spans="1:12" ht="18" customHeight="1" x14ac:dyDescent="0.3">
      <c r="A914" s="347"/>
      <c r="B914" s="348"/>
      <c r="C914" s="348"/>
      <c r="D914" s="348"/>
      <c r="E914" s="348"/>
      <c r="F914" s="349"/>
      <c r="G914" s="324"/>
      <c r="H914" s="329"/>
      <c r="I914" s="330"/>
      <c r="J914" s="330"/>
      <c r="K914" s="330"/>
      <c r="L914" s="331"/>
    </row>
    <row r="915" spans="1:12" ht="18" customHeight="1" x14ac:dyDescent="0.3">
      <c r="A915" s="347"/>
      <c r="B915" s="348"/>
      <c r="C915" s="348"/>
      <c r="D915" s="348"/>
      <c r="E915" s="348"/>
      <c r="F915" s="349"/>
      <c r="G915" s="325"/>
      <c r="H915" s="332"/>
      <c r="I915" s="333"/>
      <c r="J915" s="333"/>
      <c r="K915" s="333"/>
      <c r="L915" s="334"/>
    </row>
    <row r="916" spans="1:12" ht="18" customHeight="1" x14ac:dyDescent="0.3">
      <c r="A916" s="347"/>
      <c r="B916" s="348"/>
      <c r="C916" s="348"/>
      <c r="D916" s="348"/>
      <c r="E916" s="348"/>
      <c r="F916" s="349"/>
      <c r="G916" s="335" t="s">
        <v>99</v>
      </c>
      <c r="H916" s="336"/>
      <c r="I916" s="336"/>
      <c r="J916" s="336"/>
      <c r="K916" s="336"/>
      <c r="L916" s="337"/>
    </row>
    <row r="917" spans="1:12" ht="18" customHeight="1" x14ac:dyDescent="0.3">
      <c r="A917" s="350"/>
      <c r="B917" s="351"/>
      <c r="C917" s="351"/>
      <c r="D917" s="351"/>
      <c r="E917" s="351"/>
      <c r="F917" s="352"/>
      <c r="G917" s="338"/>
      <c r="H917" s="339"/>
      <c r="I917" s="339"/>
      <c r="J917" s="339"/>
      <c r="K917" s="339"/>
      <c r="L917" s="340"/>
    </row>
    <row r="918" spans="1:12" ht="18" customHeight="1" x14ac:dyDescent="0.3">
      <c r="A918" s="353">
        <f>A874</f>
        <v>0</v>
      </c>
      <c r="B918" s="354"/>
      <c r="C918" s="355"/>
      <c r="D918" s="356"/>
      <c r="E918" s="357"/>
      <c r="F918" s="357"/>
      <c r="G918" s="357"/>
      <c r="H918" s="357"/>
      <c r="I918" s="358"/>
      <c r="J918" s="359" t="s">
        <v>125</v>
      </c>
      <c r="K918" s="360"/>
      <c r="L918" s="361"/>
    </row>
    <row r="919" spans="1:12" ht="18" customHeight="1" x14ac:dyDescent="0.3">
      <c r="A919" s="362" t="str">
        <f>A875</f>
        <v>포트폴리오</v>
      </c>
      <c r="B919" s="363"/>
      <c r="C919" s="364"/>
      <c r="D919" s="365" t="str">
        <f>'전체 훈련생 평가 채점표'!F29</f>
        <v/>
      </c>
      <c r="E919" s="366"/>
      <c r="F919" s="366"/>
      <c r="G919" s="366"/>
      <c r="H919" s="366"/>
      <c r="I919" s="367"/>
      <c r="J919" s="368">
        <f>IFERROR((D918+D919+D920),0)</f>
        <v>0</v>
      </c>
      <c r="K919" s="369"/>
      <c r="L919" s="370"/>
    </row>
    <row r="920" spans="1:12" ht="18" customHeight="1" x14ac:dyDescent="0.3">
      <c r="A920" s="374">
        <f>A876</f>
        <v>0</v>
      </c>
      <c r="B920" s="375"/>
      <c r="C920" s="376"/>
      <c r="D920" s="377" t="str">
        <f>'전체 훈련생 평가 채점표'!G29</f>
        <v/>
      </c>
      <c r="E920" s="378"/>
      <c r="F920" s="378"/>
      <c r="G920" s="378"/>
      <c r="H920" s="378"/>
      <c r="I920" s="379"/>
      <c r="J920" s="371"/>
      <c r="K920" s="372"/>
      <c r="L920" s="373"/>
    </row>
    <row r="921" spans="1:12" ht="18" customHeight="1" x14ac:dyDescent="0.3">
      <c r="A921" s="303" t="s">
        <v>11</v>
      </c>
      <c r="B921" s="304"/>
      <c r="C921" s="304"/>
      <c r="D921" s="304"/>
      <c r="E921" s="304"/>
      <c r="F921" s="304"/>
      <c r="G921" s="304"/>
      <c r="H921" s="304"/>
      <c r="I921" s="304"/>
      <c r="J921" s="304"/>
      <c r="K921" s="304"/>
      <c r="L921" s="305"/>
    </row>
    <row r="922" spans="1:12" ht="18" customHeight="1" x14ac:dyDescent="0.3">
      <c r="A922" s="306" t="s">
        <v>100</v>
      </c>
      <c r="B922" s="307"/>
      <c r="C922" s="307"/>
      <c r="D922" s="307"/>
      <c r="E922" s="307"/>
      <c r="F922" s="307"/>
      <c r="G922" s="307"/>
      <c r="H922" s="307"/>
      <c r="I922" s="307"/>
      <c r="J922" s="307"/>
      <c r="K922" s="307"/>
      <c r="L922" s="308"/>
    </row>
    <row r="923" spans="1:12" ht="18" customHeight="1" x14ac:dyDescent="0.3">
      <c r="A923" s="309" t="s">
        <v>92</v>
      </c>
      <c r="B923" s="309"/>
      <c r="C923" s="309"/>
      <c r="D923" s="310" t="s">
        <v>101</v>
      </c>
      <c r="E923" s="311"/>
      <c r="F923" s="310" t="s">
        <v>102</v>
      </c>
      <c r="G923" s="312"/>
      <c r="H923" s="311"/>
      <c r="I923" s="313">
        <f>$J919</f>
        <v>0</v>
      </c>
      <c r="J923" s="313"/>
      <c r="K923" s="315" t="s">
        <v>103</v>
      </c>
      <c r="L923" s="316"/>
    </row>
    <row r="924" spans="1:12" ht="18" customHeight="1" x14ac:dyDescent="0.3">
      <c r="A924" s="319" t="s">
        <v>104</v>
      </c>
      <c r="B924" s="319"/>
      <c r="C924" s="319"/>
      <c r="D924" s="320" t="s">
        <v>105</v>
      </c>
      <c r="E924" s="321"/>
      <c r="F924" s="320" t="s">
        <v>106</v>
      </c>
      <c r="G924" s="322"/>
      <c r="H924" s="321"/>
      <c r="I924" s="314"/>
      <c r="J924" s="314"/>
      <c r="K924" s="317"/>
      <c r="L924" s="318"/>
    </row>
    <row r="925" spans="1:12" ht="18" customHeight="1" x14ac:dyDescent="0.3">
      <c r="A925" s="453" t="str">
        <f>MID(VLOOKUP('전체 훈련생 평가 채점표'!$L$2,'기초데이타(작성필히)'!$A$5:$P$19,9),18,50)&amp;" 수행평가"</f>
        <v xml:space="preserve">  스마트문화앱UX설계 수행평가</v>
      </c>
      <c r="B925" s="453"/>
      <c r="C925" s="453"/>
      <c r="D925" s="453"/>
      <c r="E925" s="453"/>
      <c r="F925" s="453"/>
      <c r="G925" s="453"/>
      <c r="H925" s="453"/>
      <c r="I925" s="453"/>
      <c r="J925" s="453"/>
      <c r="K925" s="453"/>
      <c r="L925" s="453"/>
    </row>
    <row r="926" spans="1:12" ht="18" customHeight="1" x14ac:dyDescent="0.3">
      <c r="A926" s="309" t="s">
        <v>16</v>
      </c>
      <c r="B926" s="454">
        <f>VLOOKUP('전체 훈련생 평가 채점표'!$L$2,'기초데이타(작성필히)'!$A$5:$P$19,3)</f>
        <v>2021</v>
      </c>
      <c r="C926" s="454" t="s">
        <v>17</v>
      </c>
      <c r="D926" s="455" t="str">
        <f>VLOOKUP('전체 훈련생 평가 채점표'!$L$2,'기초데이타(작성필히)'!$A$5:$P$19,4)</f>
        <v>[디지털디자인]반응형 웹디자인(UIUX) &amp; 웹퍼블리셔 디지털 실무 양성과정 A-5</v>
      </c>
      <c r="E926" s="455"/>
      <c r="F926" s="455"/>
      <c r="G926" s="454" t="s">
        <v>18</v>
      </c>
      <c r="H926" s="359" t="str">
        <f>VLOOKUP('전체 훈련생 평가 채점표'!$L$2,'기초데이타(작성필히)'!$A$5:$P$19,5)</f>
        <v>21.08.31 ~ 22.02.07</v>
      </c>
      <c r="I926" s="360"/>
      <c r="J926" s="361"/>
      <c r="K926" s="460" t="s">
        <v>78</v>
      </c>
      <c r="L926" s="309" t="str">
        <f>VLOOKUP('전체 훈련생 평가 채점표'!$L$2,'기초데이타(작성필히)'!$A$5:$P$19,6)</f>
        <v>760H</v>
      </c>
    </row>
    <row r="927" spans="1:12" ht="18" customHeight="1" x14ac:dyDescent="0.3">
      <c r="A927" s="412"/>
      <c r="B927" s="413"/>
      <c r="C927" s="413"/>
      <c r="D927" s="456"/>
      <c r="E927" s="456"/>
      <c r="F927" s="456"/>
      <c r="G927" s="413"/>
      <c r="H927" s="457"/>
      <c r="I927" s="458"/>
      <c r="J927" s="459"/>
      <c r="K927" s="461"/>
      <c r="L927" s="412"/>
    </row>
    <row r="928" spans="1:12" ht="18" customHeight="1" x14ac:dyDescent="0.3">
      <c r="A928" s="412" t="s">
        <v>23</v>
      </c>
      <c r="B928" s="412"/>
      <c r="C928" s="412" t="str">
        <f>LEFT(VLOOKUP('전체 훈련생 평가 채점표'!$L$2,'기초데이타(작성필히)'!$A$5:$P$19,9),17)</f>
        <v>[0803020911_18v3]</v>
      </c>
      <c r="D928" s="412"/>
      <c r="E928" s="412"/>
      <c r="F928" s="412"/>
      <c r="G928" s="413" t="s">
        <v>24</v>
      </c>
      <c r="H928" s="412" t="str">
        <f>VLOOKUP('전체 훈련생 평가 채점표'!$L$2,'기초데이타(작성필히)'!$A$5:$P$19,12)</f>
        <v>이창훈</v>
      </c>
      <c r="I928" s="412"/>
      <c r="J928" s="412"/>
      <c r="K928" s="414"/>
      <c r="L928" s="415" t="s">
        <v>25</v>
      </c>
    </row>
    <row r="929" spans="1:12" ht="18" customHeight="1" x14ac:dyDescent="0.3">
      <c r="A929" s="412"/>
      <c r="B929" s="412"/>
      <c r="C929" s="412" t="str">
        <f>MID(VLOOKUP('전체 훈련생 평가 채점표'!$L$2,'기초데이타(작성필히)'!$A$5:$P$19,9),18,50)</f>
        <v xml:space="preserve">  스마트문화앱UX설계</v>
      </c>
      <c r="D929" s="412"/>
      <c r="E929" s="412"/>
      <c r="F929" s="412"/>
      <c r="G929" s="413"/>
      <c r="H929" s="412"/>
      <c r="I929" s="412"/>
      <c r="J929" s="412"/>
      <c r="K929" s="414"/>
      <c r="L929" s="416"/>
    </row>
    <row r="930" spans="1:12" ht="18" customHeight="1" x14ac:dyDescent="0.3">
      <c r="A930" s="412" t="s">
        <v>79</v>
      </c>
      <c r="B930" s="412"/>
      <c r="C930" s="413" t="str">
        <f>'전체 훈련생 평가 채점표'!B30</f>
        <v/>
      </c>
      <c r="D930" s="413" t="s">
        <v>21</v>
      </c>
      <c r="E930" s="418" t="str">
        <f>VLOOKUP('전체 훈련생 평가 채점표'!$L$2,'기초데이타(작성필히)'!$A$5:$P$19,10)</f>
        <v>21.11.11~21.11.24</v>
      </c>
      <c r="F930" s="419"/>
      <c r="G930" s="420"/>
      <c r="H930" s="60" t="s">
        <v>80</v>
      </c>
      <c r="I930" s="119" t="s">
        <v>22</v>
      </c>
      <c r="J930" s="424" t="s">
        <v>81</v>
      </c>
      <c r="K930" s="425"/>
      <c r="L930" s="426"/>
    </row>
    <row r="931" spans="1:12" ht="18" customHeight="1" x14ac:dyDescent="0.3">
      <c r="A931" s="319"/>
      <c r="B931" s="319"/>
      <c r="C931" s="417"/>
      <c r="D931" s="417"/>
      <c r="E931" s="421"/>
      <c r="F931" s="422"/>
      <c r="G931" s="423"/>
      <c r="H931" s="120" t="s">
        <v>40</v>
      </c>
      <c r="I931" s="120">
        <f>VLOOKUP('전체 훈련생 평가 채점표'!$L$2,'기초데이타(작성필히)'!$A$5:$P$19,11)</f>
        <v>70</v>
      </c>
      <c r="J931" s="314" t="s">
        <v>40</v>
      </c>
      <c r="K931" s="314"/>
      <c r="L931" s="427"/>
    </row>
    <row r="932" spans="1:12" ht="18" customHeight="1" x14ac:dyDescent="0.3"/>
    <row r="933" spans="1:12" ht="18" customHeight="1" x14ac:dyDescent="0.3">
      <c r="A933" s="428" t="s">
        <v>82</v>
      </c>
      <c r="B933" s="429"/>
      <c r="C933" s="429"/>
      <c r="D933" s="431" t="s">
        <v>83</v>
      </c>
      <c r="E933" s="431"/>
      <c r="F933" s="431"/>
      <c r="G933" s="433" t="s">
        <v>84</v>
      </c>
      <c r="H933" s="434"/>
      <c r="I933" s="434"/>
      <c r="J933" s="434"/>
      <c r="K933" s="434"/>
      <c r="L933" s="435"/>
    </row>
    <row r="934" spans="1:12" ht="18" customHeight="1" x14ac:dyDescent="0.3">
      <c r="A934" s="430"/>
      <c r="B934" s="430"/>
      <c r="C934" s="430"/>
      <c r="D934" s="432"/>
      <c r="E934" s="432"/>
      <c r="F934" s="432"/>
      <c r="G934" s="436"/>
      <c r="H934" s="437"/>
      <c r="I934" s="437"/>
      <c r="J934" s="437"/>
      <c r="K934" s="437"/>
      <c r="L934" s="438"/>
    </row>
    <row r="935" spans="1:12" ht="18" customHeight="1" x14ac:dyDescent="0.3">
      <c r="A935" s="383" t="str">
        <f>$C930</f>
        <v/>
      </c>
      <c r="B935" s="439"/>
      <c r="C935" s="439"/>
      <c r="D935" s="441" t="str">
        <f>$H928</f>
        <v>이창훈</v>
      </c>
      <c r="E935" s="443" t="s">
        <v>25</v>
      </c>
      <c r="F935" s="444"/>
      <c r="G935" s="382" t="s">
        <v>85</v>
      </c>
      <c r="H935" s="447">
        <f>VLOOKUP('전체 훈련생 평가 채점표'!$L$2,'기초데이타(작성필히)'!$A$5:$P$19,13)</f>
        <v>44524</v>
      </c>
      <c r="I935" s="448"/>
      <c r="J935" s="448"/>
      <c r="K935" s="449"/>
      <c r="L935" s="391" t="s">
        <v>86</v>
      </c>
    </row>
    <row r="936" spans="1:12" ht="18" customHeight="1" x14ac:dyDescent="0.3">
      <c r="A936" s="440"/>
      <c r="B936" s="440"/>
      <c r="C936" s="440"/>
      <c r="D936" s="442"/>
      <c r="E936" s="445"/>
      <c r="F936" s="446"/>
      <c r="G936" s="384"/>
      <c r="H936" s="450"/>
      <c r="I936" s="451"/>
      <c r="J936" s="451"/>
      <c r="K936" s="452"/>
      <c r="L936" s="392"/>
    </row>
    <row r="937" spans="1:12" ht="18" customHeight="1" x14ac:dyDescent="0.3">
      <c r="A937" s="380" t="s">
        <v>87</v>
      </c>
      <c r="B937" s="380"/>
      <c r="C937" s="380"/>
      <c r="D937" s="382" t="str">
        <f>$C928</f>
        <v>[0803020911_18v3]</v>
      </c>
      <c r="E937" s="382"/>
      <c r="F937" s="382"/>
      <c r="G937" s="382" t="s">
        <v>88</v>
      </c>
      <c r="H937" s="385"/>
      <c r="I937" s="386"/>
      <c r="J937" s="386"/>
      <c r="K937" s="387"/>
      <c r="L937" s="391" t="s">
        <v>86</v>
      </c>
    </row>
    <row r="938" spans="1:12" ht="18" customHeight="1" x14ac:dyDescent="0.3">
      <c r="A938" s="381"/>
      <c r="B938" s="381"/>
      <c r="C938" s="381"/>
      <c r="D938" s="383"/>
      <c r="E938" s="383"/>
      <c r="F938" s="383"/>
      <c r="G938" s="384"/>
      <c r="H938" s="388"/>
      <c r="I938" s="389"/>
      <c r="J938" s="389"/>
      <c r="K938" s="390"/>
      <c r="L938" s="392"/>
    </row>
    <row r="939" spans="1:12" ht="18" customHeight="1" x14ac:dyDescent="0.3">
      <c r="A939" s="393" t="str">
        <f>VLOOKUP('전체 훈련생 평가 채점표'!$L$2,'기초데이타(작성필히)'!$A$5:$P$19,7)</f>
        <v>스타일가이드제작 및 시안디자인 제작2</v>
      </c>
      <c r="B939" s="393"/>
      <c r="C939" s="393"/>
      <c r="D939" s="383" t="str">
        <f>$C929</f>
        <v xml:space="preserve">  스마트문화앱UX설계</v>
      </c>
      <c r="E939" s="383"/>
      <c r="F939" s="383"/>
      <c r="G939" s="382" t="s">
        <v>89</v>
      </c>
      <c r="H939" s="385"/>
      <c r="I939" s="386"/>
      <c r="J939" s="386"/>
      <c r="K939" s="387"/>
      <c r="L939" s="391" t="s">
        <v>86</v>
      </c>
    </row>
    <row r="940" spans="1:12" ht="18" customHeight="1" x14ac:dyDescent="0.3">
      <c r="A940" s="394"/>
      <c r="B940" s="394"/>
      <c r="C940" s="394"/>
      <c r="D940" s="384"/>
      <c r="E940" s="384"/>
      <c r="F940" s="384"/>
      <c r="G940" s="384"/>
      <c r="H940" s="388"/>
      <c r="I940" s="389"/>
      <c r="J940" s="389"/>
      <c r="K940" s="390"/>
      <c r="L940" s="392"/>
    </row>
    <row r="941" spans="1:12" ht="18" customHeight="1" x14ac:dyDescent="0.3">
      <c r="A941" s="395" t="s">
        <v>90</v>
      </c>
      <c r="B941" s="396"/>
      <c r="C941" s="396"/>
      <c r="D941" s="396"/>
      <c r="E941" s="396"/>
      <c r="F941" s="397"/>
      <c r="G941" s="398" t="s">
        <v>91</v>
      </c>
      <c r="H941" s="399"/>
      <c r="I941" s="399"/>
      <c r="J941" s="399"/>
      <c r="K941" s="399"/>
      <c r="L941" s="400"/>
    </row>
    <row r="942" spans="1:12" ht="18" customHeight="1" x14ac:dyDescent="0.3">
      <c r="A942" s="395"/>
      <c r="B942" s="396"/>
      <c r="C942" s="396"/>
      <c r="D942" s="396"/>
      <c r="E942" s="396"/>
      <c r="F942" s="397"/>
      <c r="G942" s="401"/>
      <c r="H942" s="402"/>
      <c r="I942" s="402"/>
      <c r="J942" s="402"/>
      <c r="K942" s="402"/>
      <c r="L942" s="403"/>
    </row>
    <row r="943" spans="1:12" ht="18" customHeight="1" x14ac:dyDescent="0.3">
      <c r="A943" s="341" t="s">
        <v>126</v>
      </c>
      <c r="B943" s="342"/>
      <c r="C943" s="342"/>
      <c r="D943" s="342"/>
      <c r="E943" s="342"/>
      <c r="F943" s="343"/>
      <c r="G943" s="404" t="s">
        <v>92</v>
      </c>
      <c r="H943" s="406" t="s">
        <v>93</v>
      </c>
      <c r="I943" s="407"/>
      <c r="J943" s="407"/>
      <c r="K943" s="407"/>
      <c r="L943" s="408"/>
    </row>
    <row r="944" spans="1:12" ht="18" customHeight="1" x14ac:dyDescent="0.3">
      <c r="A944" s="341"/>
      <c r="B944" s="342"/>
      <c r="C944" s="342"/>
      <c r="D944" s="342"/>
      <c r="E944" s="342"/>
      <c r="F944" s="343"/>
      <c r="G944" s="405"/>
      <c r="H944" s="409"/>
      <c r="I944" s="410"/>
      <c r="J944" s="410"/>
      <c r="K944" s="410"/>
      <c r="L944" s="411"/>
    </row>
    <row r="945" spans="1:12" ht="18" customHeight="1" x14ac:dyDescent="0.3">
      <c r="A945" s="341"/>
      <c r="B945" s="342"/>
      <c r="C945" s="342"/>
      <c r="D945" s="342"/>
      <c r="E945" s="342"/>
      <c r="F945" s="343"/>
      <c r="G945" s="323" t="str">
        <f>IF($J963&gt;=90,"○","")</f>
        <v/>
      </c>
      <c r="H945" s="326" t="s">
        <v>94</v>
      </c>
      <c r="I945" s="327"/>
      <c r="J945" s="327"/>
      <c r="K945" s="327"/>
      <c r="L945" s="328"/>
    </row>
    <row r="946" spans="1:12" ht="18" customHeight="1" x14ac:dyDescent="0.3">
      <c r="A946" s="341"/>
      <c r="B946" s="342"/>
      <c r="C946" s="342"/>
      <c r="D946" s="342"/>
      <c r="E946" s="342"/>
      <c r="F946" s="343"/>
      <c r="G946" s="324"/>
      <c r="H946" s="329"/>
      <c r="I946" s="330"/>
      <c r="J946" s="330"/>
      <c r="K946" s="330"/>
      <c r="L946" s="331"/>
    </row>
    <row r="947" spans="1:12" ht="18" customHeight="1" x14ac:dyDescent="0.3">
      <c r="A947" s="341"/>
      <c r="B947" s="342"/>
      <c r="C947" s="342"/>
      <c r="D947" s="342"/>
      <c r="E947" s="342"/>
      <c r="F947" s="343"/>
      <c r="G947" s="325"/>
      <c r="H947" s="332"/>
      <c r="I947" s="333"/>
      <c r="J947" s="333"/>
      <c r="K947" s="333"/>
      <c r="L947" s="334"/>
    </row>
    <row r="948" spans="1:12" ht="18" customHeight="1" x14ac:dyDescent="0.3">
      <c r="A948" s="341"/>
      <c r="B948" s="342"/>
      <c r="C948" s="342"/>
      <c r="D948" s="342"/>
      <c r="E948" s="342"/>
      <c r="F948" s="343"/>
      <c r="G948" s="323" t="str">
        <f>IF(AND($J963&lt;=89.9,$J963&gt;=80),"○","")</f>
        <v/>
      </c>
      <c r="H948" s="326" t="s">
        <v>95</v>
      </c>
      <c r="I948" s="327"/>
      <c r="J948" s="327"/>
      <c r="K948" s="327"/>
      <c r="L948" s="328"/>
    </row>
    <row r="949" spans="1:12" ht="18" customHeight="1" x14ac:dyDescent="0.3">
      <c r="A949" s="341"/>
      <c r="B949" s="342"/>
      <c r="C949" s="342"/>
      <c r="D949" s="342"/>
      <c r="E949" s="342"/>
      <c r="F949" s="343"/>
      <c r="G949" s="324"/>
      <c r="H949" s="329"/>
      <c r="I949" s="330"/>
      <c r="J949" s="330"/>
      <c r="K949" s="330"/>
      <c r="L949" s="331"/>
    </row>
    <row r="950" spans="1:12" ht="18" customHeight="1" x14ac:dyDescent="0.3">
      <c r="A950" s="341"/>
      <c r="B950" s="342"/>
      <c r="C950" s="342"/>
      <c r="D950" s="342"/>
      <c r="E950" s="342"/>
      <c r="F950" s="343"/>
      <c r="G950" s="325"/>
      <c r="H950" s="332"/>
      <c r="I950" s="333"/>
      <c r="J950" s="333"/>
      <c r="K950" s="333"/>
      <c r="L950" s="334"/>
    </row>
    <row r="951" spans="1:12" ht="18" customHeight="1" x14ac:dyDescent="0.3">
      <c r="A951" s="341"/>
      <c r="B951" s="342"/>
      <c r="C951" s="342"/>
      <c r="D951" s="342"/>
      <c r="E951" s="342"/>
      <c r="F951" s="343"/>
      <c r="G951" s="323" t="str">
        <f>IF(AND($J963&lt;=79.9,$J963&gt;=70),"○","")</f>
        <v/>
      </c>
      <c r="H951" s="326" t="s">
        <v>96</v>
      </c>
      <c r="I951" s="327"/>
      <c r="J951" s="327"/>
      <c r="K951" s="327"/>
      <c r="L951" s="328"/>
    </row>
    <row r="952" spans="1:12" ht="18" customHeight="1" x14ac:dyDescent="0.3">
      <c r="A952" s="341"/>
      <c r="B952" s="342"/>
      <c r="C952" s="342"/>
      <c r="D952" s="342"/>
      <c r="E952" s="342"/>
      <c r="F952" s="343"/>
      <c r="G952" s="324"/>
      <c r="H952" s="329"/>
      <c r="I952" s="330"/>
      <c r="J952" s="330"/>
      <c r="K952" s="330"/>
      <c r="L952" s="331"/>
    </row>
    <row r="953" spans="1:12" ht="18" customHeight="1" x14ac:dyDescent="0.3">
      <c r="A953" s="344" t="str">
        <f>"- "&amp;'전체 훈련생 평가 채점표'!$G$8</f>
        <v>- 0</v>
      </c>
      <c r="B953" s="345"/>
      <c r="C953" s="345"/>
      <c r="D953" s="345"/>
      <c r="E953" s="345"/>
      <c r="F953" s="346"/>
      <c r="G953" s="325"/>
      <c r="H953" s="332"/>
      <c r="I953" s="333"/>
      <c r="J953" s="333"/>
      <c r="K953" s="333"/>
      <c r="L953" s="334"/>
    </row>
    <row r="954" spans="1:12" ht="18" customHeight="1" x14ac:dyDescent="0.3">
      <c r="A954" s="344" t="str">
        <f>"- "&amp;'전체 훈련생 평가 채점표'!$F$8</f>
        <v>- 포트폴리오</v>
      </c>
      <c r="B954" s="345"/>
      <c r="C954" s="345"/>
      <c r="D954" s="345"/>
      <c r="E954" s="345"/>
      <c r="F954" s="346"/>
      <c r="G954" s="323" t="str">
        <f>IF(AND($J963&lt;=69.9,$J963&gt;=60),"○","")</f>
        <v/>
      </c>
      <c r="H954" s="326" t="s">
        <v>97</v>
      </c>
      <c r="I954" s="327"/>
      <c r="J954" s="327"/>
      <c r="K954" s="327"/>
      <c r="L954" s="328"/>
    </row>
    <row r="955" spans="1:12" ht="18" customHeight="1" x14ac:dyDescent="0.3">
      <c r="A955" s="347"/>
      <c r="B955" s="348"/>
      <c r="C955" s="348"/>
      <c r="D955" s="348"/>
      <c r="E955" s="348"/>
      <c r="F955" s="349"/>
      <c r="G955" s="324"/>
      <c r="H955" s="329"/>
      <c r="I955" s="330"/>
      <c r="J955" s="330"/>
      <c r="K955" s="330"/>
      <c r="L955" s="331"/>
    </row>
    <row r="956" spans="1:12" ht="18" customHeight="1" x14ac:dyDescent="0.3">
      <c r="A956" s="347"/>
      <c r="B956" s="348"/>
      <c r="C956" s="348"/>
      <c r="D956" s="348"/>
      <c r="E956" s="348"/>
      <c r="F956" s="349"/>
      <c r="G956" s="325"/>
      <c r="H956" s="332"/>
      <c r="I956" s="333"/>
      <c r="J956" s="333"/>
      <c r="K956" s="333"/>
      <c r="L956" s="334"/>
    </row>
    <row r="957" spans="1:12" ht="18" customHeight="1" x14ac:dyDescent="0.3">
      <c r="A957" s="347"/>
      <c r="B957" s="348"/>
      <c r="C957" s="348"/>
      <c r="D957" s="348"/>
      <c r="E957" s="348"/>
      <c r="F957" s="349"/>
      <c r="G957" s="323" t="str">
        <f>IF($J963&lt;=59.9,"○","")</f>
        <v>○</v>
      </c>
      <c r="H957" s="326" t="s">
        <v>98</v>
      </c>
      <c r="I957" s="327"/>
      <c r="J957" s="327"/>
      <c r="K957" s="327"/>
      <c r="L957" s="328"/>
    </row>
    <row r="958" spans="1:12" ht="18" customHeight="1" x14ac:dyDescent="0.3">
      <c r="A958" s="347"/>
      <c r="B958" s="348"/>
      <c r="C958" s="348"/>
      <c r="D958" s="348"/>
      <c r="E958" s="348"/>
      <c r="F958" s="349"/>
      <c r="G958" s="324"/>
      <c r="H958" s="329"/>
      <c r="I958" s="330"/>
      <c r="J958" s="330"/>
      <c r="K958" s="330"/>
      <c r="L958" s="331"/>
    </row>
    <row r="959" spans="1:12" ht="18" customHeight="1" x14ac:dyDescent="0.3">
      <c r="A959" s="347"/>
      <c r="B959" s="348"/>
      <c r="C959" s="348"/>
      <c r="D959" s="348"/>
      <c r="E959" s="348"/>
      <c r="F959" s="349"/>
      <c r="G959" s="325"/>
      <c r="H959" s="332"/>
      <c r="I959" s="333"/>
      <c r="J959" s="333"/>
      <c r="K959" s="333"/>
      <c r="L959" s="334"/>
    </row>
    <row r="960" spans="1:12" ht="18" customHeight="1" x14ac:dyDescent="0.3">
      <c r="A960" s="347"/>
      <c r="B960" s="348"/>
      <c r="C960" s="348"/>
      <c r="D960" s="348"/>
      <c r="E960" s="348"/>
      <c r="F960" s="349"/>
      <c r="G960" s="335" t="s">
        <v>99</v>
      </c>
      <c r="H960" s="336"/>
      <c r="I960" s="336"/>
      <c r="J960" s="336"/>
      <c r="K960" s="336"/>
      <c r="L960" s="337"/>
    </row>
    <row r="961" spans="1:12" ht="18" customHeight="1" x14ac:dyDescent="0.3">
      <c r="A961" s="350"/>
      <c r="B961" s="351"/>
      <c r="C961" s="351"/>
      <c r="D961" s="351"/>
      <c r="E961" s="351"/>
      <c r="F961" s="352"/>
      <c r="G961" s="338"/>
      <c r="H961" s="339"/>
      <c r="I961" s="339"/>
      <c r="J961" s="339"/>
      <c r="K961" s="339"/>
      <c r="L961" s="340"/>
    </row>
    <row r="962" spans="1:12" ht="18" customHeight="1" x14ac:dyDescent="0.3">
      <c r="A962" s="353">
        <f>A918</f>
        <v>0</v>
      </c>
      <c r="B962" s="354"/>
      <c r="C962" s="355"/>
      <c r="D962" s="356"/>
      <c r="E962" s="357"/>
      <c r="F962" s="357"/>
      <c r="G962" s="357"/>
      <c r="H962" s="357"/>
      <c r="I962" s="358"/>
      <c r="J962" s="359" t="s">
        <v>125</v>
      </c>
      <c r="K962" s="360"/>
      <c r="L962" s="361"/>
    </row>
    <row r="963" spans="1:12" ht="18" customHeight="1" x14ac:dyDescent="0.3">
      <c r="A963" s="362" t="str">
        <f>A919</f>
        <v>포트폴리오</v>
      </c>
      <c r="B963" s="363"/>
      <c r="C963" s="364"/>
      <c r="D963" s="365" t="str">
        <f>'전체 훈련생 평가 채점표'!F30</f>
        <v/>
      </c>
      <c r="E963" s="366"/>
      <c r="F963" s="366"/>
      <c r="G963" s="366"/>
      <c r="H963" s="366"/>
      <c r="I963" s="367"/>
      <c r="J963" s="368">
        <f>IFERROR((D962+D963+D964),0)</f>
        <v>0</v>
      </c>
      <c r="K963" s="369"/>
      <c r="L963" s="370"/>
    </row>
    <row r="964" spans="1:12" ht="18" customHeight="1" x14ac:dyDescent="0.3">
      <c r="A964" s="374">
        <f>A920</f>
        <v>0</v>
      </c>
      <c r="B964" s="375"/>
      <c r="C964" s="376"/>
      <c r="D964" s="377" t="str">
        <f>'전체 훈련생 평가 채점표'!G30</f>
        <v/>
      </c>
      <c r="E964" s="378"/>
      <c r="F964" s="378"/>
      <c r="G964" s="378"/>
      <c r="H964" s="378"/>
      <c r="I964" s="379"/>
      <c r="J964" s="371"/>
      <c r="K964" s="372"/>
      <c r="L964" s="373"/>
    </row>
    <row r="965" spans="1:12" ht="18" customHeight="1" x14ac:dyDescent="0.3">
      <c r="A965" s="303" t="s">
        <v>11</v>
      </c>
      <c r="B965" s="304"/>
      <c r="C965" s="304"/>
      <c r="D965" s="304"/>
      <c r="E965" s="304"/>
      <c r="F965" s="304"/>
      <c r="G965" s="304"/>
      <c r="H965" s="304"/>
      <c r="I965" s="304"/>
      <c r="J965" s="304"/>
      <c r="K965" s="304"/>
      <c r="L965" s="305"/>
    </row>
    <row r="966" spans="1:12" ht="18" customHeight="1" x14ac:dyDescent="0.3">
      <c r="A966" s="306" t="s">
        <v>100</v>
      </c>
      <c r="B966" s="307"/>
      <c r="C966" s="307"/>
      <c r="D966" s="307"/>
      <c r="E966" s="307"/>
      <c r="F966" s="307"/>
      <c r="G966" s="307"/>
      <c r="H966" s="307"/>
      <c r="I966" s="307"/>
      <c r="J966" s="307"/>
      <c r="K966" s="307"/>
      <c r="L966" s="308"/>
    </row>
    <row r="967" spans="1:12" ht="18" customHeight="1" x14ac:dyDescent="0.3">
      <c r="A967" s="309" t="s">
        <v>92</v>
      </c>
      <c r="B967" s="309"/>
      <c r="C967" s="309"/>
      <c r="D967" s="310" t="s">
        <v>101</v>
      </c>
      <c r="E967" s="311"/>
      <c r="F967" s="310" t="s">
        <v>102</v>
      </c>
      <c r="G967" s="312"/>
      <c r="H967" s="311"/>
      <c r="I967" s="313">
        <f>$J963</f>
        <v>0</v>
      </c>
      <c r="J967" s="313"/>
      <c r="K967" s="315" t="s">
        <v>103</v>
      </c>
      <c r="L967" s="316"/>
    </row>
    <row r="968" spans="1:12" ht="18" customHeight="1" x14ac:dyDescent="0.3">
      <c r="A968" s="319" t="s">
        <v>104</v>
      </c>
      <c r="B968" s="319"/>
      <c r="C968" s="319"/>
      <c r="D968" s="320" t="s">
        <v>105</v>
      </c>
      <c r="E968" s="321"/>
      <c r="F968" s="320" t="s">
        <v>106</v>
      </c>
      <c r="G968" s="322"/>
      <c r="H968" s="321"/>
      <c r="I968" s="314"/>
      <c r="J968" s="314"/>
      <c r="K968" s="317"/>
      <c r="L968" s="318"/>
    </row>
    <row r="969" spans="1:12" ht="18" customHeight="1" x14ac:dyDescent="0.3">
      <c r="A969" s="453" t="str">
        <f>MID(VLOOKUP('전체 훈련생 평가 채점표'!$L$2,'기초데이타(작성필히)'!$A$5:$P$19,9),18,50)&amp;" 수행평가"</f>
        <v xml:space="preserve">  스마트문화앱UX설계 수행평가</v>
      </c>
      <c r="B969" s="453"/>
      <c r="C969" s="453"/>
      <c r="D969" s="453"/>
      <c r="E969" s="453"/>
      <c r="F969" s="453"/>
      <c r="G969" s="453"/>
      <c r="H969" s="453"/>
      <c r="I969" s="453"/>
      <c r="J969" s="453"/>
      <c r="K969" s="453"/>
      <c r="L969" s="453"/>
    </row>
    <row r="970" spans="1:12" ht="18" customHeight="1" x14ac:dyDescent="0.3">
      <c r="A970" s="309" t="s">
        <v>16</v>
      </c>
      <c r="B970" s="454">
        <f>VLOOKUP('전체 훈련생 평가 채점표'!$L$2,'기초데이타(작성필히)'!$A$5:$P$19,3)</f>
        <v>2021</v>
      </c>
      <c r="C970" s="454" t="s">
        <v>17</v>
      </c>
      <c r="D970" s="455" t="str">
        <f>VLOOKUP('전체 훈련생 평가 채점표'!$L$2,'기초데이타(작성필히)'!$A$5:$P$19,4)</f>
        <v>[디지털디자인]반응형 웹디자인(UIUX) &amp; 웹퍼블리셔 디지털 실무 양성과정 A-5</v>
      </c>
      <c r="E970" s="455"/>
      <c r="F970" s="455"/>
      <c r="G970" s="454" t="s">
        <v>18</v>
      </c>
      <c r="H970" s="359" t="str">
        <f>VLOOKUP('전체 훈련생 평가 채점표'!$L$2,'기초데이타(작성필히)'!$A$5:$P$19,5)</f>
        <v>21.08.31 ~ 22.02.07</v>
      </c>
      <c r="I970" s="360"/>
      <c r="J970" s="361"/>
      <c r="K970" s="460" t="s">
        <v>78</v>
      </c>
      <c r="L970" s="309" t="str">
        <f>VLOOKUP('전체 훈련생 평가 채점표'!$L$2,'기초데이타(작성필히)'!$A$5:$P$19,6)</f>
        <v>760H</v>
      </c>
    </row>
    <row r="971" spans="1:12" ht="18" customHeight="1" x14ac:dyDescent="0.3">
      <c r="A971" s="412"/>
      <c r="B971" s="413"/>
      <c r="C971" s="413"/>
      <c r="D971" s="456"/>
      <c r="E971" s="456"/>
      <c r="F971" s="456"/>
      <c r="G971" s="413"/>
      <c r="H971" s="457"/>
      <c r="I971" s="458"/>
      <c r="J971" s="459"/>
      <c r="K971" s="461"/>
      <c r="L971" s="412"/>
    </row>
    <row r="972" spans="1:12" ht="18" customHeight="1" x14ac:dyDescent="0.3">
      <c r="A972" s="412" t="s">
        <v>23</v>
      </c>
      <c r="B972" s="412"/>
      <c r="C972" s="412" t="str">
        <f>LEFT(VLOOKUP('전체 훈련생 평가 채점표'!$L$2,'기초데이타(작성필히)'!$A$5:$P$19,9),17)</f>
        <v>[0803020911_18v3]</v>
      </c>
      <c r="D972" s="412"/>
      <c r="E972" s="412"/>
      <c r="F972" s="412"/>
      <c r="G972" s="413" t="s">
        <v>24</v>
      </c>
      <c r="H972" s="412" t="str">
        <f>VLOOKUP('전체 훈련생 평가 채점표'!$L$2,'기초데이타(작성필히)'!$A$5:$P$19,12)</f>
        <v>이창훈</v>
      </c>
      <c r="I972" s="412"/>
      <c r="J972" s="412"/>
      <c r="K972" s="414"/>
      <c r="L972" s="415" t="s">
        <v>25</v>
      </c>
    </row>
    <row r="973" spans="1:12" ht="18" customHeight="1" x14ac:dyDescent="0.3">
      <c r="A973" s="412"/>
      <c r="B973" s="412"/>
      <c r="C973" s="412" t="str">
        <f>MID(VLOOKUP('전체 훈련생 평가 채점표'!$L$2,'기초데이타(작성필히)'!$A$5:$P$19,9),18,50)</f>
        <v xml:space="preserve">  스마트문화앱UX설계</v>
      </c>
      <c r="D973" s="412"/>
      <c r="E973" s="412"/>
      <c r="F973" s="412"/>
      <c r="G973" s="413"/>
      <c r="H973" s="412"/>
      <c r="I973" s="412"/>
      <c r="J973" s="412"/>
      <c r="K973" s="414"/>
      <c r="L973" s="416"/>
    </row>
    <row r="974" spans="1:12" ht="18" customHeight="1" x14ac:dyDescent="0.3">
      <c r="A974" s="412" t="s">
        <v>79</v>
      </c>
      <c r="B974" s="412"/>
      <c r="C974" s="413" t="str">
        <f>'전체 훈련생 평가 채점표'!B31</f>
        <v/>
      </c>
      <c r="D974" s="413" t="s">
        <v>21</v>
      </c>
      <c r="E974" s="418" t="str">
        <f>VLOOKUP('전체 훈련생 평가 채점표'!$L$2,'기초데이타(작성필히)'!$A$5:$P$19,10)</f>
        <v>21.11.11~21.11.24</v>
      </c>
      <c r="F974" s="419"/>
      <c r="G974" s="420"/>
      <c r="H974" s="60" t="s">
        <v>80</v>
      </c>
      <c r="I974" s="119" t="s">
        <v>22</v>
      </c>
      <c r="J974" s="424" t="s">
        <v>81</v>
      </c>
      <c r="K974" s="425"/>
      <c r="L974" s="426"/>
    </row>
    <row r="975" spans="1:12" ht="18" customHeight="1" x14ac:dyDescent="0.3">
      <c r="A975" s="319"/>
      <c r="B975" s="319"/>
      <c r="C975" s="417"/>
      <c r="D975" s="417"/>
      <c r="E975" s="421"/>
      <c r="F975" s="422"/>
      <c r="G975" s="423"/>
      <c r="H975" s="120" t="s">
        <v>40</v>
      </c>
      <c r="I975" s="120">
        <f>VLOOKUP('전체 훈련생 평가 채점표'!$L$2,'기초데이타(작성필히)'!$A$5:$P$19,11)</f>
        <v>70</v>
      </c>
      <c r="J975" s="314" t="s">
        <v>40</v>
      </c>
      <c r="K975" s="314"/>
      <c r="L975" s="427"/>
    </row>
    <row r="976" spans="1:12" ht="18" customHeight="1" x14ac:dyDescent="0.3"/>
    <row r="977" spans="1:12" ht="18" customHeight="1" x14ac:dyDescent="0.3">
      <c r="A977" s="428" t="s">
        <v>82</v>
      </c>
      <c r="B977" s="429"/>
      <c r="C977" s="429"/>
      <c r="D977" s="431" t="s">
        <v>83</v>
      </c>
      <c r="E977" s="431"/>
      <c r="F977" s="431"/>
      <c r="G977" s="433" t="s">
        <v>84</v>
      </c>
      <c r="H977" s="434"/>
      <c r="I977" s="434"/>
      <c r="J977" s="434"/>
      <c r="K977" s="434"/>
      <c r="L977" s="435"/>
    </row>
    <row r="978" spans="1:12" ht="18" customHeight="1" x14ac:dyDescent="0.3">
      <c r="A978" s="430"/>
      <c r="B978" s="430"/>
      <c r="C978" s="430"/>
      <c r="D978" s="432"/>
      <c r="E978" s="432"/>
      <c r="F978" s="432"/>
      <c r="G978" s="436"/>
      <c r="H978" s="437"/>
      <c r="I978" s="437"/>
      <c r="J978" s="437"/>
      <c r="K978" s="437"/>
      <c r="L978" s="438"/>
    </row>
    <row r="979" spans="1:12" ht="18" customHeight="1" x14ac:dyDescent="0.3">
      <c r="A979" s="383" t="str">
        <f>$C974</f>
        <v/>
      </c>
      <c r="B979" s="439"/>
      <c r="C979" s="439"/>
      <c r="D979" s="441" t="str">
        <f>$H972</f>
        <v>이창훈</v>
      </c>
      <c r="E979" s="443" t="s">
        <v>25</v>
      </c>
      <c r="F979" s="444"/>
      <c r="G979" s="382" t="s">
        <v>85</v>
      </c>
      <c r="H979" s="447">
        <f>VLOOKUP('전체 훈련생 평가 채점표'!$L$2,'기초데이타(작성필히)'!$A$5:$P$19,13)</f>
        <v>44524</v>
      </c>
      <c r="I979" s="448"/>
      <c r="J979" s="448"/>
      <c r="K979" s="449"/>
      <c r="L979" s="391" t="s">
        <v>86</v>
      </c>
    </row>
    <row r="980" spans="1:12" ht="18" customHeight="1" x14ac:dyDescent="0.3">
      <c r="A980" s="440"/>
      <c r="B980" s="440"/>
      <c r="C980" s="440"/>
      <c r="D980" s="442"/>
      <c r="E980" s="445"/>
      <c r="F980" s="446"/>
      <c r="G980" s="384"/>
      <c r="H980" s="450"/>
      <c r="I980" s="451"/>
      <c r="J980" s="451"/>
      <c r="K980" s="452"/>
      <c r="L980" s="392"/>
    </row>
    <row r="981" spans="1:12" ht="18" customHeight="1" x14ac:dyDescent="0.3">
      <c r="A981" s="380" t="s">
        <v>87</v>
      </c>
      <c r="B981" s="380"/>
      <c r="C981" s="380"/>
      <c r="D981" s="382" t="str">
        <f>$C972</f>
        <v>[0803020911_18v3]</v>
      </c>
      <c r="E981" s="382"/>
      <c r="F981" s="382"/>
      <c r="G981" s="382" t="s">
        <v>88</v>
      </c>
      <c r="H981" s="385"/>
      <c r="I981" s="386"/>
      <c r="J981" s="386"/>
      <c r="K981" s="387"/>
      <c r="L981" s="391" t="s">
        <v>86</v>
      </c>
    </row>
    <row r="982" spans="1:12" ht="18" customHeight="1" x14ac:dyDescent="0.3">
      <c r="A982" s="381"/>
      <c r="B982" s="381"/>
      <c r="C982" s="381"/>
      <c r="D982" s="383"/>
      <c r="E982" s="383"/>
      <c r="F982" s="383"/>
      <c r="G982" s="384"/>
      <c r="H982" s="388"/>
      <c r="I982" s="389"/>
      <c r="J982" s="389"/>
      <c r="K982" s="390"/>
      <c r="L982" s="392"/>
    </row>
    <row r="983" spans="1:12" ht="18" customHeight="1" x14ac:dyDescent="0.3">
      <c r="A983" s="393" t="str">
        <f>VLOOKUP('전체 훈련생 평가 채점표'!$L$2,'기초데이타(작성필히)'!$A$5:$P$19,7)</f>
        <v>스타일가이드제작 및 시안디자인 제작2</v>
      </c>
      <c r="B983" s="393"/>
      <c r="C983" s="393"/>
      <c r="D983" s="383" t="str">
        <f>$C973</f>
        <v xml:space="preserve">  스마트문화앱UX설계</v>
      </c>
      <c r="E983" s="383"/>
      <c r="F983" s="383"/>
      <c r="G983" s="382" t="s">
        <v>89</v>
      </c>
      <c r="H983" s="385"/>
      <c r="I983" s="386"/>
      <c r="J983" s="386"/>
      <c r="K983" s="387"/>
      <c r="L983" s="391" t="s">
        <v>86</v>
      </c>
    </row>
    <row r="984" spans="1:12" ht="18" customHeight="1" x14ac:dyDescent="0.3">
      <c r="A984" s="394"/>
      <c r="B984" s="394"/>
      <c r="C984" s="394"/>
      <c r="D984" s="384"/>
      <c r="E984" s="384"/>
      <c r="F984" s="384"/>
      <c r="G984" s="384"/>
      <c r="H984" s="388"/>
      <c r="I984" s="389"/>
      <c r="J984" s="389"/>
      <c r="K984" s="390"/>
      <c r="L984" s="392"/>
    </row>
    <row r="985" spans="1:12" ht="18" customHeight="1" x14ac:dyDescent="0.3">
      <c r="A985" s="395" t="s">
        <v>90</v>
      </c>
      <c r="B985" s="396"/>
      <c r="C985" s="396"/>
      <c r="D985" s="396"/>
      <c r="E985" s="396"/>
      <c r="F985" s="397"/>
      <c r="G985" s="398" t="s">
        <v>91</v>
      </c>
      <c r="H985" s="399"/>
      <c r="I985" s="399"/>
      <c r="J985" s="399"/>
      <c r="K985" s="399"/>
      <c r="L985" s="400"/>
    </row>
    <row r="986" spans="1:12" ht="18" customHeight="1" x14ac:dyDescent="0.3">
      <c r="A986" s="395"/>
      <c r="B986" s="396"/>
      <c r="C986" s="396"/>
      <c r="D986" s="396"/>
      <c r="E986" s="396"/>
      <c r="F986" s="397"/>
      <c r="G986" s="401"/>
      <c r="H986" s="402"/>
      <c r="I986" s="402"/>
      <c r="J986" s="402"/>
      <c r="K986" s="402"/>
      <c r="L986" s="403"/>
    </row>
    <row r="987" spans="1:12" ht="18" customHeight="1" x14ac:dyDescent="0.3">
      <c r="A987" s="341" t="s">
        <v>126</v>
      </c>
      <c r="B987" s="342"/>
      <c r="C987" s="342"/>
      <c r="D987" s="342"/>
      <c r="E987" s="342"/>
      <c r="F987" s="343"/>
      <c r="G987" s="404" t="s">
        <v>92</v>
      </c>
      <c r="H987" s="406" t="s">
        <v>93</v>
      </c>
      <c r="I987" s="407"/>
      <c r="J987" s="407"/>
      <c r="K987" s="407"/>
      <c r="L987" s="408"/>
    </row>
    <row r="988" spans="1:12" ht="18" customHeight="1" x14ac:dyDescent="0.3">
      <c r="A988" s="341"/>
      <c r="B988" s="342"/>
      <c r="C988" s="342"/>
      <c r="D988" s="342"/>
      <c r="E988" s="342"/>
      <c r="F988" s="343"/>
      <c r="G988" s="405"/>
      <c r="H988" s="409"/>
      <c r="I988" s="410"/>
      <c r="J988" s="410"/>
      <c r="K988" s="410"/>
      <c r="L988" s="411"/>
    </row>
    <row r="989" spans="1:12" ht="18" customHeight="1" x14ac:dyDescent="0.3">
      <c r="A989" s="341"/>
      <c r="B989" s="342"/>
      <c r="C989" s="342"/>
      <c r="D989" s="342"/>
      <c r="E989" s="342"/>
      <c r="F989" s="343"/>
      <c r="G989" s="323" t="str">
        <f>IF($J1007&gt;=90,"○","")</f>
        <v/>
      </c>
      <c r="H989" s="326" t="s">
        <v>94</v>
      </c>
      <c r="I989" s="327"/>
      <c r="J989" s="327"/>
      <c r="K989" s="327"/>
      <c r="L989" s="328"/>
    </row>
    <row r="990" spans="1:12" ht="18" customHeight="1" x14ac:dyDescent="0.3">
      <c r="A990" s="341"/>
      <c r="B990" s="342"/>
      <c r="C990" s="342"/>
      <c r="D990" s="342"/>
      <c r="E990" s="342"/>
      <c r="F990" s="343"/>
      <c r="G990" s="324"/>
      <c r="H990" s="329"/>
      <c r="I990" s="330"/>
      <c r="J990" s="330"/>
      <c r="K990" s="330"/>
      <c r="L990" s="331"/>
    </row>
    <row r="991" spans="1:12" ht="18" customHeight="1" x14ac:dyDescent="0.3">
      <c r="A991" s="341"/>
      <c r="B991" s="342"/>
      <c r="C991" s="342"/>
      <c r="D991" s="342"/>
      <c r="E991" s="342"/>
      <c r="F991" s="343"/>
      <c r="G991" s="325"/>
      <c r="H991" s="332"/>
      <c r="I991" s="333"/>
      <c r="J991" s="333"/>
      <c r="K991" s="333"/>
      <c r="L991" s="334"/>
    </row>
    <row r="992" spans="1:12" ht="18" customHeight="1" x14ac:dyDescent="0.3">
      <c r="A992" s="341"/>
      <c r="B992" s="342"/>
      <c r="C992" s="342"/>
      <c r="D992" s="342"/>
      <c r="E992" s="342"/>
      <c r="F992" s="343"/>
      <c r="G992" s="323" t="str">
        <f>IF(AND($J1007&lt;=89.9,$J1007&gt;=80),"○","")</f>
        <v/>
      </c>
      <c r="H992" s="326" t="s">
        <v>95</v>
      </c>
      <c r="I992" s="327"/>
      <c r="J992" s="327"/>
      <c r="K992" s="327"/>
      <c r="L992" s="328"/>
    </row>
    <row r="993" spans="1:12" ht="18" customHeight="1" x14ac:dyDescent="0.3">
      <c r="A993" s="341"/>
      <c r="B993" s="342"/>
      <c r="C993" s="342"/>
      <c r="D993" s="342"/>
      <c r="E993" s="342"/>
      <c r="F993" s="343"/>
      <c r="G993" s="324"/>
      <c r="H993" s="329"/>
      <c r="I993" s="330"/>
      <c r="J993" s="330"/>
      <c r="K993" s="330"/>
      <c r="L993" s="331"/>
    </row>
    <row r="994" spans="1:12" ht="18" customHeight="1" x14ac:dyDescent="0.3">
      <c r="A994" s="341"/>
      <c r="B994" s="342"/>
      <c r="C994" s="342"/>
      <c r="D994" s="342"/>
      <c r="E994" s="342"/>
      <c r="F994" s="343"/>
      <c r="G994" s="325"/>
      <c r="H994" s="332"/>
      <c r="I994" s="333"/>
      <c r="J994" s="333"/>
      <c r="K994" s="333"/>
      <c r="L994" s="334"/>
    </row>
    <row r="995" spans="1:12" ht="18" customHeight="1" x14ac:dyDescent="0.3">
      <c r="A995" s="341"/>
      <c r="B995" s="342"/>
      <c r="C995" s="342"/>
      <c r="D995" s="342"/>
      <c r="E995" s="342"/>
      <c r="F995" s="343"/>
      <c r="G995" s="323" t="str">
        <f>IF(AND($J1007&lt;=79.9,$J1007&gt;=70),"○","")</f>
        <v/>
      </c>
      <c r="H995" s="326" t="s">
        <v>96</v>
      </c>
      <c r="I995" s="327"/>
      <c r="J995" s="327"/>
      <c r="K995" s="327"/>
      <c r="L995" s="328"/>
    </row>
    <row r="996" spans="1:12" ht="18" customHeight="1" x14ac:dyDescent="0.3">
      <c r="A996" s="341"/>
      <c r="B996" s="342"/>
      <c r="C996" s="342"/>
      <c r="D996" s="342"/>
      <c r="E996" s="342"/>
      <c r="F996" s="343"/>
      <c r="G996" s="324"/>
      <c r="H996" s="329"/>
      <c r="I996" s="330"/>
      <c r="J996" s="330"/>
      <c r="K996" s="330"/>
      <c r="L996" s="331"/>
    </row>
    <row r="997" spans="1:12" ht="18" customHeight="1" x14ac:dyDescent="0.3">
      <c r="A997" s="344" t="str">
        <f>"- "&amp;'전체 훈련생 평가 채점표'!$G$8</f>
        <v>- 0</v>
      </c>
      <c r="B997" s="345"/>
      <c r="C997" s="345"/>
      <c r="D997" s="345"/>
      <c r="E997" s="345"/>
      <c r="F997" s="346"/>
      <c r="G997" s="325"/>
      <c r="H997" s="332"/>
      <c r="I997" s="333"/>
      <c r="J997" s="333"/>
      <c r="K997" s="333"/>
      <c r="L997" s="334"/>
    </row>
    <row r="998" spans="1:12" ht="18" customHeight="1" x14ac:dyDescent="0.3">
      <c r="A998" s="344" t="str">
        <f>"- "&amp;'전체 훈련생 평가 채점표'!$F$8</f>
        <v>- 포트폴리오</v>
      </c>
      <c r="B998" s="345"/>
      <c r="C998" s="345"/>
      <c r="D998" s="345"/>
      <c r="E998" s="345"/>
      <c r="F998" s="346"/>
      <c r="G998" s="323" t="str">
        <f>IF(AND($J1007&lt;=69.9,$J1007&gt;=60),"○","")</f>
        <v/>
      </c>
      <c r="H998" s="326" t="s">
        <v>97</v>
      </c>
      <c r="I998" s="327"/>
      <c r="J998" s="327"/>
      <c r="K998" s="327"/>
      <c r="L998" s="328"/>
    </row>
    <row r="999" spans="1:12" ht="18" customHeight="1" x14ac:dyDescent="0.3">
      <c r="A999" s="347"/>
      <c r="B999" s="348"/>
      <c r="C999" s="348"/>
      <c r="D999" s="348"/>
      <c r="E999" s="348"/>
      <c r="F999" s="349"/>
      <c r="G999" s="324"/>
      <c r="H999" s="329"/>
      <c r="I999" s="330"/>
      <c r="J999" s="330"/>
      <c r="K999" s="330"/>
      <c r="L999" s="331"/>
    </row>
    <row r="1000" spans="1:12" ht="18" customHeight="1" x14ac:dyDescent="0.3">
      <c r="A1000" s="347"/>
      <c r="B1000" s="348"/>
      <c r="C1000" s="348"/>
      <c r="D1000" s="348"/>
      <c r="E1000" s="348"/>
      <c r="F1000" s="349"/>
      <c r="G1000" s="325"/>
      <c r="H1000" s="332"/>
      <c r="I1000" s="333"/>
      <c r="J1000" s="333"/>
      <c r="K1000" s="333"/>
      <c r="L1000" s="334"/>
    </row>
    <row r="1001" spans="1:12" ht="18" customHeight="1" x14ac:dyDescent="0.3">
      <c r="A1001" s="347"/>
      <c r="B1001" s="348"/>
      <c r="C1001" s="348"/>
      <c r="D1001" s="348"/>
      <c r="E1001" s="348"/>
      <c r="F1001" s="349"/>
      <c r="G1001" s="323" t="str">
        <f>IF($J1007&lt;=59.9,"○","")</f>
        <v>○</v>
      </c>
      <c r="H1001" s="326" t="s">
        <v>98</v>
      </c>
      <c r="I1001" s="327"/>
      <c r="J1001" s="327"/>
      <c r="K1001" s="327"/>
      <c r="L1001" s="328"/>
    </row>
    <row r="1002" spans="1:12" ht="18" customHeight="1" x14ac:dyDescent="0.3">
      <c r="A1002" s="347"/>
      <c r="B1002" s="348"/>
      <c r="C1002" s="348"/>
      <c r="D1002" s="348"/>
      <c r="E1002" s="348"/>
      <c r="F1002" s="349"/>
      <c r="G1002" s="324"/>
      <c r="H1002" s="329"/>
      <c r="I1002" s="330"/>
      <c r="J1002" s="330"/>
      <c r="K1002" s="330"/>
      <c r="L1002" s="331"/>
    </row>
    <row r="1003" spans="1:12" ht="18" customHeight="1" x14ac:dyDescent="0.3">
      <c r="A1003" s="347"/>
      <c r="B1003" s="348"/>
      <c r="C1003" s="348"/>
      <c r="D1003" s="348"/>
      <c r="E1003" s="348"/>
      <c r="F1003" s="349"/>
      <c r="G1003" s="325"/>
      <c r="H1003" s="332"/>
      <c r="I1003" s="333"/>
      <c r="J1003" s="333"/>
      <c r="K1003" s="333"/>
      <c r="L1003" s="334"/>
    </row>
    <row r="1004" spans="1:12" ht="18" customHeight="1" x14ac:dyDescent="0.3">
      <c r="A1004" s="347"/>
      <c r="B1004" s="348"/>
      <c r="C1004" s="348"/>
      <c r="D1004" s="348"/>
      <c r="E1004" s="348"/>
      <c r="F1004" s="349"/>
      <c r="G1004" s="335" t="s">
        <v>99</v>
      </c>
      <c r="H1004" s="336"/>
      <c r="I1004" s="336"/>
      <c r="J1004" s="336"/>
      <c r="K1004" s="336"/>
      <c r="L1004" s="337"/>
    </row>
    <row r="1005" spans="1:12" ht="18" customHeight="1" x14ac:dyDescent="0.3">
      <c r="A1005" s="350"/>
      <c r="B1005" s="351"/>
      <c r="C1005" s="351"/>
      <c r="D1005" s="351"/>
      <c r="E1005" s="351"/>
      <c r="F1005" s="352"/>
      <c r="G1005" s="338"/>
      <c r="H1005" s="339"/>
      <c r="I1005" s="339"/>
      <c r="J1005" s="339"/>
      <c r="K1005" s="339"/>
      <c r="L1005" s="340"/>
    </row>
    <row r="1006" spans="1:12" ht="18" customHeight="1" x14ac:dyDescent="0.3">
      <c r="A1006" s="353">
        <f>A962</f>
        <v>0</v>
      </c>
      <c r="B1006" s="354"/>
      <c r="C1006" s="355"/>
      <c r="D1006" s="356"/>
      <c r="E1006" s="357"/>
      <c r="F1006" s="357"/>
      <c r="G1006" s="357"/>
      <c r="H1006" s="357"/>
      <c r="I1006" s="358"/>
      <c r="J1006" s="359" t="s">
        <v>125</v>
      </c>
      <c r="K1006" s="360"/>
      <c r="L1006" s="361"/>
    </row>
    <row r="1007" spans="1:12" ht="18" customHeight="1" x14ac:dyDescent="0.3">
      <c r="A1007" s="362" t="str">
        <f>A963</f>
        <v>포트폴리오</v>
      </c>
      <c r="B1007" s="363"/>
      <c r="C1007" s="364"/>
      <c r="D1007" s="365" t="str">
        <f>'전체 훈련생 평가 채점표'!F31</f>
        <v/>
      </c>
      <c r="E1007" s="366"/>
      <c r="F1007" s="366"/>
      <c r="G1007" s="366"/>
      <c r="H1007" s="366"/>
      <c r="I1007" s="367"/>
      <c r="J1007" s="368">
        <f>IFERROR((D1006+D1007+D1008),0)</f>
        <v>0</v>
      </c>
      <c r="K1007" s="369"/>
      <c r="L1007" s="370"/>
    </row>
    <row r="1008" spans="1:12" ht="18" customHeight="1" x14ac:dyDescent="0.3">
      <c r="A1008" s="374">
        <f>A964</f>
        <v>0</v>
      </c>
      <c r="B1008" s="375"/>
      <c r="C1008" s="376"/>
      <c r="D1008" s="377" t="str">
        <f>'전체 훈련생 평가 채점표'!G31</f>
        <v/>
      </c>
      <c r="E1008" s="378"/>
      <c r="F1008" s="378"/>
      <c r="G1008" s="378"/>
      <c r="H1008" s="378"/>
      <c r="I1008" s="379"/>
      <c r="J1008" s="371"/>
      <c r="K1008" s="372"/>
      <c r="L1008" s="373"/>
    </row>
    <row r="1009" spans="1:12" ht="18" customHeight="1" x14ac:dyDescent="0.3">
      <c r="A1009" s="303" t="s">
        <v>11</v>
      </c>
      <c r="B1009" s="304"/>
      <c r="C1009" s="304"/>
      <c r="D1009" s="304"/>
      <c r="E1009" s="304"/>
      <c r="F1009" s="304"/>
      <c r="G1009" s="304"/>
      <c r="H1009" s="304"/>
      <c r="I1009" s="304"/>
      <c r="J1009" s="304"/>
      <c r="K1009" s="304"/>
      <c r="L1009" s="305"/>
    </row>
    <row r="1010" spans="1:12" ht="18" customHeight="1" x14ac:dyDescent="0.3">
      <c r="A1010" s="306" t="s">
        <v>100</v>
      </c>
      <c r="B1010" s="307"/>
      <c r="C1010" s="307"/>
      <c r="D1010" s="307"/>
      <c r="E1010" s="307"/>
      <c r="F1010" s="307"/>
      <c r="G1010" s="307"/>
      <c r="H1010" s="307"/>
      <c r="I1010" s="307"/>
      <c r="J1010" s="307"/>
      <c r="K1010" s="307"/>
      <c r="L1010" s="308"/>
    </row>
    <row r="1011" spans="1:12" ht="18" customHeight="1" x14ac:dyDescent="0.3">
      <c r="A1011" s="309" t="s">
        <v>92</v>
      </c>
      <c r="B1011" s="309"/>
      <c r="C1011" s="309"/>
      <c r="D1011" s="310" t="s">
        <v>101</v>
      </c>
      <c r="E1011" s="311"/>
      <c r="F1011" s="310" t="s">
        <v>102</v>
      </c>
      <c r="G1011" s="312"/>
      <c r="H1011" s="311"/>
      <c r="I1011" s="313">
        <f>$J1007</f>
        <v>0</v>
      </c>
      <c r="J1011" s="313"/>
      <c r="K1011" s="315" t="s">
        <v>103</v>
      </c>
      <c r="L1011" s="316"/>
    </row>
    <row r="1012" spans="1:12" ht="18" customHeight="1" x14ac:dyDescent="0.3">
      <c r="A1012" s="319" t="s">
        <v>104</v>
      </c>
      <c r="B1012" s="319"/>
      <c r="C1012" s="319"/>
      <c r="D1012" s="320" t="s">
        <v>105</v>
      </c>
      <c r="E1012" s="321"/>
      <c r="F1012" s="320" t="s">
        <v>106</v>
      </c>
      <c r="G1012" s="322"/>
      <c r="H1012" s="321"/>
      <c r="I1012" s="314"/>
      <c r="J1012" s="314"/>
      <c r="K1012" s="317"/>
      <c r="L1012" s="318"/>
    </row>
    <row r="1013" spans="1:12" ht="18" customHeight="1" x14ac:dyDescent="0.3">
      <c r="A1013" s="453" t="str">
        <f>MID(VLOOKUP('전체 훈련생 평가 채점표'!$L$2,'기초데이타(작성필히)'!$A$5:$P$19,9),18,50)&amp;" 수행평가"</f>
        <v xml:space="preserve">  스마트문화앱UX설계 수행평가</v>
      </c>
      <c r="B1013" s="453"/>
      <c r="C1013" s="453"/>
      <c r="D1013" s="453"/>
      <c r="E1013" s="453"/>
      <c r="F1013" s="453"/>
      <c r="G1013" s="453"/>
      <c r="H1013" s="453"/>
      <c r="I1013" s="453"/>
      <c r="J1013" s="453"/>
      <c r="K1013" s="453"/>
      <c r="L1013" s="453"/>
    </row>
    <row r="1014" spans="1:12" ht="18" customHeight="1" x14ac:dyDescent="0.3">
      <c r="A1014" s="309" t="s">
        <v>16</v>
      </c>
      <c r="B1014" s="454">
        <f>VLOOKUP('전체 훈련생 평가 채점표'!$L$2,'기초데이타(작성필히)'!$A$5:$P$19,3)</f>
        <v>2021</v>
      </c>
      <c r="C1014" s="454" t="s">
        <v>17</v>
      </c>
      <c r="D1014" s="455" t="str">
        <f>VLOOKUP('전체 훈련생 평가 채점표'!$L$2,'기초데이타(작성필히)'!$A$5:$P$19,4)</f>
        <v>[디지털디자인]반응형 웹디자인(UIUX) &amp; 웹퍼블리셔 디지털 실무 양성과정 A-5</v>
      </c>
      <c r="E1014" s="455"/>
      <c r="F1014" s="455"/>
      <c r="G1014" s="454" t="s">
        <v>18</v>
      </c>
      <c r="H1014" s="359" t="str">
        <f>VLOOKUP('전체 훈련생 평가 채점표'!$L$2,'기초데이타(작성필히)'!$A$5:$P$19,5)</f>
        <v>21.08.31 ~ 22.02.07</v>
      </c>
      <c r="I1014" s="360"/>
      <c r="J1014" s="361"/>
      <c r="K1014" s="460" t="s">
        <v>78</v>
      </c>
      <c r="L1014" s="309" t="str">
        <f>VLOOKUP('전체 훈련생 평가 채점표'!$L$2,'기초데이타(작성필히)'!$A$5:$P$19,6)</f>
        <v>760H</v>
      </c>
    </row>
    <row r="1015" spans="1:12" ht="18" customHeight="1" x14ac:dyDescent="0.3">
      <c r="A1015" s="412"/>
      <c r="B1015" s="413"/>
      <c r="C1015" s="413"/>
      <c r="D1015" s="456"/>
      <c r="E1015" s="456"/>
      <c r="F1015" s="456"/>
      <c r="G1015" s="413"/>
      <c r="H1015" s="457"/>
      <c r="I1015" s="458"/>
      <c r="J1015" s="459"/>
      <c r="K1015" s="461"/>
      <c r="L1015" s="412"/>
    </row>
    <row r="1016" spans="1:12" ht="18" customHeight="1" x14ac:dyDescent="0.3">
      <c r="A1016" s="412" t="s">
        <v>23</v>
      </c>
      <c r="B1016" s="412"/>
      <c r="C1016" s="412" t="str">
        <f>LEFT(VLOOKUP('전체 훈련생 평가 채점표'!$L$2,'기초데이타(작성필히)'!$A$5:$P$19,9),17)</f>
        <v>[0803020911_18v3]</v>
      </c>
      <c r="D1016" s="412"/>
      <c r="E1016" s="412"/>
      <c r="F1016" s="412"/>
      <c r="G1016" s="413" t="s">
        <v>24</v>
      </c>
      <c r="H1016" s="412" t="str">
        <f>VLOOKUP('전체 훈련생 평가 채점표'!$L$2,'기초데이타(작성필히)'!$A$5:$P$19,12)</f>
        <v>이창훈</v>
      </c>
      <c r="I1016" s="412"/>
      <c r="J1016" s="412"/>
      <c r="K1016" s="414"/>
      <c r="L1016" s="415" t="s">
        <v>25</v>
      </c>
    </row>
    <row r="1017" spans="1:12" ht="18" customHeight="1" x14ac:dyDescent="0.3">
      <c r="A1017" s="412"/>
      <c r="B1017" s="412"/>
      <c r="C1017" s="412" t="str">
        <f>MID(VLOOKUP('전체 훈련생 평가 채점표'!$L$2,'기초데이타(작성필히)'!$A$5:$P$19,9),18,50)</f>
        <v xml:space="preserve">  스마트문화앱UX설계</v>
      </c>
      <c r="D1017" s="412"/>
      <c r="E1017" s="412"/>
      <c r="F1017" s="412"/>
      <c r="G1017" s="413"/>
      <c r="H1017" s="412"/>
      <c r="I1017" s="412"/>
      <c r="J1017" s="412"/>
      <c r="K1017" s="414"/>
      <c r="L1017" s="416"/>
    </row>
    <row r="1018" spans="1:12" ht="18" customHeight="1" x14ac:dyDescent="0.3">
      <c r="A1018" s="412" t="s">
        <v>79</v>
      </c>
      <c r="B1018" s="412"/>
      <c r="C1018" s="413" t="str">
        <f>'전체 훈련생 평가 채점표'!B32</f>
        <v/>
      </c>
      <c r="D1018" s="413" t="s">
        <v>21</v>
      </c>
      <c r="E1018" s="418" t="str">
        <f>VLOOKUP('전체 훈련생 평가 채점표'!$L$2,'기초데이타(작성필히)'!$A$5:$P$19,10)</f>
        <v>21.11.11~21.11.24</v>
      </c>
      <c r="F1018" s="419"/>
      <c r="G1018" s="420"/>
      <c r="H1018" s="60" t="s">
        <v>80</v>
      </c>
      <c r="I1018" s="119" t="s">
        <v>22</v>
      </c>
      <c r="J1018" s="424" t="s">
        <v>81</v>
      </c>
      <c r="K1018" s="425"/>
      <c r="L1018" s="426"/>
    </row>
    <row r="1019" spans="1:12" ht="18" customHeight="1" x14ac:dyDescent="0.3">
      <c r="A1019" s="319"/>
      <c r="B1019" s="319"/>
      <c r="C1019" s="417"/>
      <c r="D1019" s="417"/>
      <c r="E1019" s="421"/>
      <c r="F1019" s="422"/>
      <c r="G1019" s="423"/>
      <c r="H1019" s="120" t="s">
        <v>40</v>
      </c>
      <c r="I1019" s="120">
        <f>VLOOKUP('전체 훈련생 평가 채점표'!$L$2,'기초데이타(작성필히)'!$A$5:$P$19,11)</f>
        <v>70</v>
      </c>
      <c r="J1019" s="314" t="s">
        <v>40</v>
      </c>
      <c r="K1019" s="314"/>
      <c r="L1019" s="427"/>
    </row>
    <row r="1020" spans="1:12" ht="18" customHeight="1" x14ac:dyDescent="0.3"/>
    <row r="1021" spans="1:12" ht="18" customHeight="1" x14ac:dyDescent="0.3">
      <c r="A1021" s="428" t="s">
        <v>82</v>
      </c>
      <c r="B1021" s="429"/>
      <c r="C1021" s="429"/>
      <c r="D1021" s="431" t="s">
        <v>83</v>
      </c>
      <c r="E1021" s="431"/>
      <c r="F1021" s="431"/>
      <c r="G1021" s="433" t="s">
        <v>84</v>
      </c>
      <c r="H1021" s="434"/>
      <c r="I1021" s="434"/>
      <c r="J1021" s="434"/>
      <c r="K1021" s="434"/>
      <c r="L1021" s="435"/>
    </row>
    <row r="1022" spans="1:12" ht="18" customHeight="1" x14ac:dyDescent="0.3">
      <c r="A1022" s="430"/>
      <c r="B1022" s="430"/>
      <c r="C1022" s="430"/>
      <c r="D1022" s="432"/>
      <c r="E1022" s="432"/>
      <c r="F1022" s="432"/>
      <c r="G1022" s="436"/>
      <c r="H1022" s="437"/>
      <c r="I1022" s="437"/>
      <c r="J1022" s="437"/>
      <c r="K1022" s="437"/>
      <c r="L1022" s="438"/>
    </row>
    <row r="1023" spans="1:12" ht="18" customHeight="1" x14ac:dyDescent="0.3">
      <c r="A1023" s="383" t="str">
        <f>$C1018</f>
        <v/>
      </c>
      <c r="B1023" s="439"/>
      <c r="C1023" s="439"/>
      <c r="D1023" s="441" t="str">
        <f>$H1016</f>
        <v>이창훈</v>
      </c>
      <c r="E1023" s="443" t="s">
        <v>25</v>
      </c>
      <c r="F1023" s="444"/>
      <c r="G1023" s="382" t="s">
        <v>85</v>
      </c>
      <c r="H1023" s="447">
        <f>VLOOKUP('전체 훈련생 평가 채점표'!$L$2,'기초데이타(작성필히)'!$A$5:$P$19,13)</f>
        <v>44524</v>
      </c>
      <c r="I1023" s="448"/>
      <c r="J1023" s="448"/>
      <c r="K1023" s="449"/>
      <c r="L1023" s="391" t="s">
        <v>86</v>
      </c>
    </row>
    <row r="1024" spans="1:12" ht="18" customHeight="1" x14ac:dyDescent="0.3">
      <c r="A1024" s="440"/>
      <c r="B1024" s="440"/>
      <c r="C1024" s="440"/>
      <c r="D1024" s="442"/>
      <c r="E1024" s="445"/>
      <c r="F1024" s="446"/>
      <c r="G1024" s="384"/>
      <c r="H1024" s="450"/>
      <c r="I1024" s="451"/>
      <c r="J1024" s="451"/>
      <c r="K1024" s="452"/>
      <c r="L1024" s="392"/>
    </row>
    <row r="1025" spans="1:12" ht="18" customHeight="1" x14ac:dyDescent="0.3">
      <c r="A1025" s="380" t="s">
        <v>87</v>
      </c>
      <c r="B1025" s="380"/>
      <c r="C1025" s="380"/>
      <c r="D1025" s="382" t="str">
        <f>$C1016</f>
        <v>[0803020911_18v3]</v>
      </c>
      <c r="E1025" s="382"/>
      <c r="F1025" s="382"/>
      <c r="G1025" s="382" t="s">
        <v>88</v>
      </c>
      <c r="H1025" s="385"/>
      <c r="I1025" s="386"/>
      <c r="J1025" s="386"/>
      <c r="K1025" s="387"/>
      <c r="L1025" s="391" t="s">
        <v>86</v>
      </c>
    </row>
    <row r="1026" spans="1:12" ht="18" customHeight="1" x14ac:dyDescent="0.3">
      <c r="A1026" s="381"/>
      <c r="B1026" s="381"/>
      <c r="C1026" s="381"/>
      <c r="D1026" s="383"/>
      <c r="E1026" s="383"/>
      <c r="F1026" s="383"/>
      <c r="G1026" s="384"/>
      <c r="H1026" s="388"/>
      <c r="I1026" s="389"/>
      <c r="J1026" s="389"/>
      <c r="K1026" s="390"/>
      <c r="L1026" s="392"/>
    </row>
    <row r="1027" spans="1:12" ht="18" customHeight="1" x14ac:dyDescent="0.3">
      <c r="A1027" s="393" t="str">
        <f>VLOOKUP('전체 훈련생 평가 채점표'!$L$2,'기초데이타(작성필히)'!$A$5:$P$19,7)</f>
        <v>스타일가이드제작 및 시안디자인 제작2</v>
      </c>
      <c r="B1027" s="393"/>
      <c r="C1027" s="393"/>
      <c r="D1027" s="383" t="str">
        <f>$C1017</f>
        <v xml:space="preserve">  스마트문화앱UX설계</v>
      </c>
      <c r="E1027" s="383"/>
      <c r="F1027" s="383"/>
      <c r="G1027" s="382" t="s">
        <v>89</v>
      </c>
      <c r="H1027" s="385"/>
      <c r="I1027" s="386"/>
      <c r="J1027" s="386"/>
      <c r="K1027" s="387"/>
      <c r="L1027" s="391" t="s">
        <v>86</v>
      </c>
    </row>
    <row r="1028" spans="1:12" ht="18" customHeight="1" x14ac:dyDescent="0.3">
      <c r="A1028" s="394"/>
      <c r="B1028" s="394"/>
      <c r="C1028" s="394"/>
      <c r="D1028" s="384"/>
      <c r="E1028" s="384"/>
      <c r="F1028" s="384"/>
      <c r="G1028" s="384"/>
      <c r="H1028" s="388"/>
      <c r="I1028" s="389"/>
      <c r="J1028" s="389"/>
      <c r="K1028" s="390"/>
      <c r="L1028" s="392"/>
    </row>
    <row r="1029" spans="1:12" ht="18" customHeight="1" x14ac:dyDescent="0.3">
      <c r="A1029" s="395" t="s">
        <v>90</v>
      </c>
      <c r="B1029" s="396"/>
      <c r="C1029" s="396"/>
      <c r="D1029" s="396"/>
      <c r="E1029" s="396"/>
      <c r="F1029" s="397"/>
      <c r="G1029" s="398" t="s">
        <v>91</v>
      </c>
      <c r="H1029" s="399"/>
      <c r="I1029" s="399"/>
      <c r="J1029" s="399"/>
      <c r="K1029" s="399"/>
      <c r="L1029" s="400"/>
    </row>
    <row r="1030" spans="1:12" ht="18" customHeight="1" x14ac:dyDescent="0.3">
      <c r="A1030" s="395"/>
      <c r="B1030" s="396"/>
      <c r="C1030" s="396"/>
      <c r="D1030" s="396"/>
      <c r="E1030" s="396"/>
      <c r="F1030" s="397"/>
      <c r="G1030" s="401"/>
      <c r="H1030" s="402"/>
      <c r="I1030" s="402"/>
      <c r="J1030" s="402"/>
      <c r="K1030" s="402"/>
      <c r="L1030" s="403"/>
    </row>
    <row r="1031" spans="1:12" ht="18" customHeight="1" x14ac:dyDescent="0.3">
      <c r="A1031" s="341" t="s">
        <v>126</v>
      </c>
      <c r="B1031" s="342"/>
      <c r="C1031" s="342"/>
      <c r="D1031" s="342"/>
      <c r="E1031" s="342"/>
      <c r="F1031" s="343"/>
      <c r="G1031" s="404" t="s">
        <v>92</v>
      </c>
      <c r="H1031" s="406" t="s">
        <v>93</v>
      </c>
      <c r="I1031" s="407"/>
      <c r="J1031" s="407"/>
      <c r="K1031" s="407"/>
      <c r="L1031" s="408"/>
    </row>
    <row r="1032" spans="1:12" ht="18" customHeight="1" x14ac:dyDescent="0.3">
      <c r="A1032" s="341"/>
      <c r="B1032" s="342"/>
      <c r="C1032" s="342"/>
      <c r="D1032" s="342"/>
      <c r="E1032" s="342"/>
      <c r="F1032" s="343"/>
      <c r="G1032" s="405"/>
      <c r="H1032" s="409"/>
      <c r="I1032" s="410"/>
      <c r="J1032" s="410"/>
      <c r="K1032" s="410"/>
      <c r="L1032" s="411"/>
    </row>
    <row r="1033" spans="1:12" ht="18" customHeight="1" x14ac:dyDescent="0.3">
      <c r="A1033" s="341"/>
      <c r="B1033" s="342"/>
      <c r="C1033" s="342"/>
      <c r="D1033" s="342"/>
      <c r="E1033" s="342"/>
      <c r="F1033" s="343"/>
      <c r="G1033" s="323" t="str">
        <f>IF($J1051&gt;=90,"○","")</f>
        <v/>
      </c>
      <c r="H1033" s="326" t="s">
        <v>94</v>
      </c>
      <c r="I1033" s="327"/>
      <c r="J1033" s="327"/>
      <c r="K1033" s="327"/>
      <c r="L1033" s="328"/>
    </row>
    <row r="1034" spans="1:12" ht="18" customHeight="1" x14ac:dyDescent="0.3">
      <c r="A1034" s="341"/>
      <c r="B1034" s="342"/>
      <c r="C1034" s="342"/>
      <c r="D1034" s="342"/>
      <c r="E1034" s="342"/>
      <c r="F1034" s="343"/>
      <c r="G1034" s="324"/>
      <c r="H1034" s="329"/>
      <c r="I1034" s="330"/>
      <c r="J1034" s="330"/>
      <c r="K1034" s="330"/>
      <c r="L1034" s="331"/>
    </row>
    <row r="1035" spans="1:12" ht="18" customHeight="1" x14ac:dyDescent="0.3">
      <c r="A1035" s="341"/>
      <c r="B1035" s="342"/>
      <c r="C1035" s="342"/>
      <c r="D1035" s="342"/>
      <c r="E1035" s="342"/>
      <c r="F1035" s="343"/>
      <c r="G1035" s="325"/>
      <c r="H1035" s="332"/>
      <c r="I1035" s="333"/>
      <c r="J1035" s="333"/>
      <c r="K1035" s="333"/>
      <c r="L1035" s="334"/>
    </row>
    <row r="1036" spans="1:12" ht="18" customHeight="1" x14ac:dyDescent="0.3">
      <c r="A1036" s="341"/>
      <c r="B1036" s="342"/>
      <c r="C1036" s="342"/>
      <c r="D1036" s="342"/>
      <c r="E1036" s="342"/>
      <c r="F1036" s="343"/>
      <c r="G1036" s="323" t="str">
        <f>IF(AND($J1051&lt;=89.9,$J1051&gt;=80),"○","")</f>
        <v/>
      </c>
      <c r="H1036" s="326" t="s">
        <v>95</v>
      </c>
      <c r="I1036" s="327"/>
      <c r="J1036" s="327"/>
      <c r="K1036" s="327"/>
      <c r="L1036" s="328"/>
    </row>
    <row r="1037" spans="1:12" ht="18" customHeight="1" x14ac:dyDescent="0.3">
      <c r="A1037" s="341"/>
      <c r="B1037" s="342"/>
      <c r="C1037" s="342"/>
      <c r="D1037" s="342"/>
      <c r="E1037" s="342"/>
      <c r="F1037" s="343"/>
      <c r="G1037" s="324"/>
      <c r="H1037" s="329"/>
      <c r="I1037" s="330"/>
      <c r="J1037" s="330"/>
      <c r="K1037" s="330"/>
      <c r="L1037" s="331"/>
    </row>
    <row r="1038" spans="1:12" ht="18" customHeight="1" x14ac:dyDescent="0.3">
      <c r="A1038" s="341"/>
      <c r="B1038" s="342"/>
      <c r="C1038" s="342"/>
      <c r="D1038" s="342"/>
      <c r="E1038" s="342"/>
      <c r="F1038" s="343"/>
      <c r="G1038" s="325"/>
      <c r="H1038" s="332"/>
      <c r="I1038" s="333"/>
      <c r="J1038" s="333"/>
      <c r="K1038" s="333"/>
      <c r="L1038" s="334"/>
    </row>
    <row r="1039" spans="1:12" ht="18" customHeight="1" x14ac:dyDescent="0.3">
      <c r="A1039" s="341"/>
      <c r="B1039" s="342"/>
      <c r="C1039" s="342"/>
      <c r="D1039" s="342"/>
      <c r="E1039" s="342"/>
      <c r="F1039" s="343"/>
      <c r="G1039" s="323" t="str">
        <f>IF(AND($J1051&lt;=79.9,$J1051&gt;=70),"○","")</f>
        <v/>
      </c>
      <c r="H1039" s="326" t="s">
        <v>96</v>
      </c>
      <c r="I1039" s="327"/>
      <c r="J1039" s="327"/>
      <c r="K1039" s="327"/>
      <c r="L1039" s="328"/>
    </row>
    <row r="1040" spans="1:12" ht="18" customHeight="1" x14ac:dyDescent="0.3">
      <c r="A1040" s="341"/>
      <c r="B1040" s="342"/>
      <c r="C1040" s="342"/>
      <c r="D1040" s="342"/>
      <c r="E1040" s="342"/>
      <c r="F1040" s="343"/>
      <c r="G1040" s="324"/>
      <c r="H1040" s="329"/>
      <c r="I1040" s="330"/>
      <c r="J1040" s="330"/>
      <c r="K1040" s="330"/>
      <c r="L1040" s="331"/>
    </row>
    <row r="1041" spans="1:12" ht="18" customHeight="1" x14ac:dyDescent="0.3">
      <c r="A1041" s="344" t="str">
        <f>"- "&amp;'전체 훈련생 평가 채점표'!$G$8</f>
        <v>- 0</v>
      </c>
      <c r="B1041" s="345"/>
      <c r="C1041" s="345"/>
      <c r="D1041" s="345"/>
      <c r="E1041" s="345"/>
      <c r="F1041" s="346"/>
      <c r="G1041" s="325"/>
      <c r="H1041" s="332"/>
      <c r="I1041" s="333"/>
      <c r="J1041" s="333"/>
      <c r="K1041" s="333"/>
      <c r="L1041" s="334"/>
    </row>
    <row r="1042" spans="1:12" ht="18" customHeight="1" x14ac:dyDescent="0.3">
      <c r="A1042" s="344" t="str">
        <f>"- "&amp;'전체 훈련생 평가 채점표'!$F$8</f>
        <v>- 포트폴리오</v>
      </c>
      <c r="B1042" s="345"/>
      <c r="C1042" s="345"/>
      <c r="D1042" s="345"/>
      <c r="E1042" s="345"/>
      <c r="F1042" s="346"/>
      <c r="G1042" s="323" t="str">
        <f>IF(AND($J1051&lt;=69.9,$J1051&gt;=60),"○","")</f>
        <v/>
      </c>
      <c r="H1042" s="326" t="s">
        <v>97</v>
      </c>
      <c r="I1042" s="327"/>
      <c r="J1042" s="327"/>
      <c r="K1042" s="327"/>
      <c r="L1042" s="328"/>
    </row>
    <row r="1043" spans="1:12" ht="18" customHeight="1" x14ac:dyDescent="0.3">
      <c r="A1043" s="347"/>
      <c r="B1043" s="348"/>
      <c r="C1043" s="348"/>
      <c r="D1043" s="348"/>
      <c r="E1043" s="348"/>
      <c r="F1043" s="349"/>
      <c r="G1043" s="324"/>
      <c r="H1043" s="329"/>
      <c r="I1043" s="330"/>
      <c r="J1043" s="330"/>
      <c r="K1043" s="330"/>
      <c r="L1043" s="331"/>
    </row>
    <row r="1044" spans="1:12" ht="18" customHeight="1" x14ac:dyDescent="0.3">
      <c r="A1044" s="347"/>
      <c r="B1044" s="348"/>
      <c r="C1044" s="348"/>
      <c r="D1044" s="348"/>
      <c r="E1044" s="348"/>
      <c r="F1044" s="349"/>
      <c r="G1044" s="325"/>
      <c r="H1044" s="332"/>
      <c r="I1044" s="333"/>
      <c r="J1044" s="333"/>
      <c r="K1044" s="333"/>
      <c r="L1044" s="334"/>
    </row>
    <row r="1045" spans="1:12" ht="18" customHeight="1" x14ac:dyDescent="0.3">
      <c r="A1045" s="347"/>
      <c r="B1045" s="348"/>
      <c r="C1045" s="348"/>
      <c r="D1045" s="348"/>
      <c r="E1045" s="348"/>
      <c r="F1045" s="349"/>
      <c r="G1045" s="323" t="str">
        <f>IF($J1051&lt;=59.9,"○","")</f>
        <v>○</v>
      </c>
      <c r="H1045" s="326" t="s">
        <v>98</v>
      </c>
      <c r="I1045" s="327"/>
      <c r="J1045" s="327"/>
      <c r="K1045" s="327"/>
      <c r="L1045" s="328"/>
    </row>
    <row r="1046" spans="1:12" ht="18" customHeight="1" x14ac:dyDescent="0.3">
      <c r="A1046" s="347"/>
      <c r="B1046" s="348"/>
      <c r="C1046" s="348"/>
      <c r="D1046" s="348"/>
      <c r="E1046" s="348"/>
      <c r="F1046" s="349"/>
      <c r="G1046" s="324"/>
      <c r="H1046" s="329"/>
      <c r="I1046" s="330"/>
      <c r="J1046" s="330"/>
      <c r="K1046" s="330"/>
      <c r="L1046" s="331"/>
    </row>
    <row r="1047" spans="1:12" ht="18" customHeight="1" x14ac:dyDescent="0.3">
      <c r="A1047" s="347"/>
      <c r="B1047" s="348"/>
      <c r="C1047" s="348"/>
      <c r="D1047" s="348"/>
      <c r="E1047" s="348"/>
      <c r="F1047" s="349"/>
      <c r="G1047" s="325"/>
      <c r="H1047" s="332"/>
      <c r="I1047" s="333"/>
      <c r="J1047" s="333"/>
      <c r="K1047" s="333"/>
      <c r="L1047" s="334"/>
    </row>
    <row r="1048" spans="1:12" ht="18" customHeight="1" x14ac:dyDescent="0.3">
      <c r="A1048" s="347"/>
      <c r="B1048" s="348"/>
      <c r="C1048" s="348"/>
      <c r="D1048" s="348"/>
      <c r="E1048" s="348"/>
      <c r="F1048" s="349"/>
      <c r="G1048" s="335" t="s">
        <v>99</v>
      </c>
      <c r="H1048" s="336"/>
      <c r="I1048" s="336"/>
      <c r="J1048" s="336"/>
      <c r="K1048" s="336"/>
      <c r="L1048" s="337"/>
    </row>
    <row r="1049" spans="1:12" ht="18" customHeight="1" x14ac:dyDescent="0.3">
      <c r="A1049" s="350"/>
      <c r="B1049" s="351"/>
      <c r="C1049" s="351"/>
      <c r="D1049" s="351"/>
      <c r="E1049" s="351"/>
      <c r="F1049" s="352"/>
      <c r="G1049" s="338"/>
      <c r="H1049" s="339"/>
      <c r="I1049" s="339"/>
      <c r="J1049" s="339"/>
      <c r="K1049" s="339"/>
      <c r="L1049" s="340"/>
    </row>
    <row r="1050" spans="1:12" ht="18" customHeight="1" x14ac:dyDescent="0.3">
      <c r="A1050" s="353">
        <f>A1006</f>
        <v>0</v>
      </c>
      <c r="B1050" s="354"/>
      <c r="C1050" s="355"/>
      <c r="D1050" s="356"/>
      <c r="E1050" s="357"/>
      <c r="F1050" s="357"/>
      <c r="G1050" s="357"/>
      <c r="H1050" s="357"/>
      <c r="I1050" s="358"/>
      <c r="J1050" s="359" t="s">
        <v>125</v>
      </c>
      <c r="K1050" s="360"/>
      <c r="L1050" s="361"/>
    </row>
    <row r="1051" spans="1:12" ht="18" customHeight="1" x14ac:dyDescent="0.3">
      <c r="A1051" s="362" t="str">
        <f>A1007</f>
        <v>포트폴리오</v>
      </c>
      <c r="B1051" s="363"/>
      <c r="C1051" s="364"/>
      <c r="D1051" s="365" t="str">
        <f>'전체 훈련생 평가 채점표'!F32</f>
        <v/>
      </c>
      <c r="E1051" s="366"/>
      <c r="F1051" s="366"/>
      <c r="G1051" s="366"/>
      <c r="H1051" s="366"/>
      <c r="I1051" s="367"/>
      <c r="J1051" s="368">
        <f>IFERROR((D1050+D1051+D1052),0)</f>
        <v>0</v>
      </c>
      <c r="K1051" s="369"/>
      <c r="L1051" s="370"/>
    </row>
    <row r="1052" spans="1:12" ht="18" customHeight="1" x14ac:dyDescent="0.3">
      <c r="A1052" s="374">
        <f>A1008</f>
        <v>0</v>
      </c>
      <c r="B1052" s="375"/>
      <c r="C1052" s="376"/>
      <c r="D1052" s="377" t="str">
        <f>'전체 훈련생 평가 채점표'!G32</f>
        <v/>
      </c>
      <c r="E1052" s="378"/>
      <c r="F1052" s="378"/>
      <c r="G1052" s="378"/>
      <c r="H1052" s="378"/>
      <c r="I1052" s="379"/>
      <c r="J1052" s="371"/>
      <c r="K1052" s="372"/>
      <c r="L1052" s="373"/>
    </row>
    <row r="1053" spans="1:12" ht="18" customHeight="1" x14ac:dyDescent="0.3">
      <c r="A1053" s="303" t="s">
        <v>11</v>
      </c>
      <c r="B1053" s="304"/>
      <c r="C1053" s="304"/>
      <c r="D1053" s="304"/>
      <c r="E1053" s="304"/>
      <c r="F1053" s="304"/>
      <c r="G1053" s="304"/>
      <c r="H1053" s="304"/>
      <c r="I1053" s="304"/>
      <c r="J1053" s="304"/>
      <c r="K1053" s="304"/>
      <c r="L1053" s="305"/>
    </row>
    <row r="1054" spans="1:12" ht="18" customHeight="1" x14ac:dyDescent="0.3">
      <c r="A1054" s="306" t="s">
        <v>100</v>
      </c>
      <c r="B1054" s="307"/>
      <c r="C1054" s="307"/>
      <c r="D1054" s="307"/>
      <c r="E1054" s="307"/>
      <c r="F1054" s="307"/>
      <c r="G1054" s="307"/>
      <c r="H1054" s="307"/>
      <c r="I1054" s="307"/>
      <c r="J1054" s="307"/>
      <c r="K1054" s="307"/>
      <c r="L1054" s="308"/>
    </row>
    <row r="1055" spans="1:12" ht="18" customHeight="1" x14ac:dyDescent="0.3">
      <c r="A1055" s="309" t="s">
        <v>92</v>
      </c>
      <c r="B1055" s="309"/>
      <c r="C1055" s="309"/>
      <c r="D1055" s="310" t="s">
        <v>101</v>
      </c>
      <c r="E1055" s="311"/>
      <c r="F1055" s="310" t="s">
        <v>102</v>
      </c>
      <c r="G1055" s="312"/>
      <c r="H1055" s="311"/>
      <c r="I1055" s="313">
        <f>$J1051</f>
        <v>0</v>
      </c>
      <c r="J1055" s="313"/>
      <c r="K1055" s="315" t="s">
        <v>103</v>
      </c>
      <c r="L1055" s="316"/>
    </row>
    <row r="1056" spans="1:12" ht="18" customHeight="1" x14ac:dyDescent="0.3">
      <c r="A1056" s="319" t="s">
        <v>104</v>
      </c>
      <c r="B1056" s="319"/>
      <c r="C1056" s="319"/>
      <c r="D1056" s="320" t="s">
        <v>105</v>
      </c>
      <c r="E1056" s="321"/>
      <c r="F1056" s="320" t="s">
        <v>106</v>
      </c>
      <c r="G1056" s="322"/>
      <c r="H1056" s="321"/>
      <c r="I1056" s="314"/>
      <c r="J1056" s="314"/>
      <c r="K1056" s="317"/>
      <c r="L1056" s="318"/>
    </row>
    <row r="1057" spans="1:12" ht="18" customHeight="1" x14ac:dyDescent="0.3">
      <c r="A1057" s="453" t="str">
        <f>MID(VLOOKUP('전체 훈련생 평가 채점표'!$L$2,'기초데이타(작성필히)'!$A$5:$P$19,9),18,50)&amp;" 수행평가"</f>
        <v xml:space="preserve">  스마트문화앱UX설계 수행평가</v>
      </c>
      <c r="B1057" s="453"/>
      <c r="C1057" s="453"/>
      <c r="D1057" s="453"/>
      <c r="E1057" s="453"/>
      <c r="F1057" s="453"/>
      <c r="G1057" s="453"/>
      <c r="H1057" s="453"/>
      <c r="I1057" s="453"/>
      <c r="J1057" s="453"/>
      <c r="K1057" s="453"/>
      <c r="L1057" s="453"/>
    </row>
    <row r="1058" spans="1:12" ht="18" customHeight="1" x14ac:dyDescent="0.3">
      <c r="A1058" s="309" t="s">
        <v>16</v>
      </c>
      <c r="B1058" s="454">
        <f>VLOOKUP('전체 훈련생 평가 채점표'!$L$2,'기초데이타(작성필히)'!$A$5:$P$19,3)</f>
        <v>2021</v>
      </c>
      <c r="C1058" s="454" t="s">
        <v>17</v>
      </c>
      <c r="D1058" s="455" t="str">
        <f>VLOOKUP('전체 훈련생 평가 채점표'!$L$2,'기초데이타(작성필히)'!$A$5:$P$19,4)</f>
        <v>[디지털디자인]반응형 웹디자인(UIUX) &amp; 웹퍼블리셔 디지털 실무 양성과정 A-5</v>
      </c>
      <c r="E1058" s="455"/>
      <c r="F1058" s="455"/>
      <c r="G1058" s="454" t="s">
        <v>18</v>
      </c>
      <c r="H1058" s="359" t="str">
        <f>VLOOKUP('전체 훈련생 평가 채점표'!$L$2,'기초데이타(작성필히)'!$A$5:$P$19,5)</f>
        <v>21.08.31 ~ 22.02.07</v>
      </c>
      <c r="I1058" s="360"/>
      <c r="J1058" s="361"/>
      <c r="K1058" s="460" t="s">
        <v>78</v>
      </c>
      <c r="L1058" s="309" t="str">
        <f>VLOOKUP('전체 훈련생 평가 채점표'!$L$2,'기초데이타(작성필히)'!$A$5:$P$19,6)</f>
        <v>760H</v>
      </c>
    </row>
    <row r="1059" spans="1:12" ht="18" customHeight="1" x14ac:dyDescent="0.3">
      <c r="A1059" s="412"/>
      <c r="B1059" s="413"/>
      <c r="C1059" s="413"/>
      <c r="D1059" s="456"/>
      <c r="E1059" s="456"/>
      <c r="F1059" s="456"/>
      <c r="G1059" s="413"/>
      <c r="H1059" s="457"/>
      <c r="I1059" s="458"/>
      <c r="J1059" s="459"/>
      <c r="K1059" s="461"/>
      <c r="L1059" s="412"/>
    </row>
    <row r="1060" spans="1:12" ht="18" customHeight="1" x14ac:dyDescent="0.3">
      <c r="A1060" s="412" t="s">
        <v>23</v>
      </c>
      <c r="B1060" s="412"/>
      <c r="C1060" s="412" t="str">
        <f>LEFT(VLOOKUP('전체 훈련생 평가 채점표'!$L$2,'기초데이타(작성필히)'!$A$5:$P$19,9),17)</f>
        <v>[0803020911_18v3]</v>
      </c>
      <c r="D1060" s="412"/>
      <c r="E1060" s="412"/>
      <c r="F1060" s="412"/>
      <c r="G1060" s="413" t="s">
        <v>24</v>
      </c>
      <c r="H1060" s="412" t="str">
        <f>VLOOKUP('전체 훈련생 평가 채점표'!$L$2,'기초데이타(작성필히)'!$A$5:$P$19,12)</f>
        <v>이창훈</v>
      </c>
      <c r="I1060" s="412"/>
      <c r="J1060" s="412"/>
      <c r="K1060" s="414"/>
      <c r="L1060" s="415" t="s">
        <v>25</v>
      </c>
    </row>
    <row r="1061" spans="1:12" ht="18" customHeight="1" x14ac:dyDescent="0.3">
      <c r="A1061" s="412"/>
      <c r="B1061" s="412"/>
      <c r="C1061" s="412" t="str">
        <f>MID(VLOOKUP('전체 훈련생 평가 채점표'!$L$2,'기초데이타(작성필히)'!$A$5:$P$19,9),18,50)</f>
        <v xml:space="preserve">  스마트문화앱UX설계</v>
      </c>
      <c r="D1061" s="412"/>
      <c r="E1061" s="412"/>
      <c r="F1061" s="412"/>
      <c r="G1061" s="413"/>
      <c r="H1061" s="412"/>
      <c r="I1061" s="412"/>
      <c r="J1061" s="412"/>
      <c r="K1061" s="414"/>
      <c r="L1061" s="416"/>
    </row>
    <row r="1062" spans="1:12" ht="18" customHeight="1" x14ac:dyDescent="0.3">
      <c r="A1062" s="412" t="s">
        <v>79</v>
      </c>
      <c r="B1062" s="412"/>
      <c r="C1062" s="413" t="str">
        <f>'전체 훈련생 평가 채점표'!B33</f>
        <v/>
      </c>
      <c r="D1062" s="413" t="s">
        <v>21</v>
      </c>
      <c r="E1062" s="418" t="str">
        <f>VLOOKUP('전체 훈련생 평가 채점표'!$L$2,'기초데이타(작성필히)'!$A$5:$P$19,10)</f>
        <v>21.11.11~21.11.24</v>
      </c>
      <c r="F1062" s="419"/>
      <c r="G1062" s="420"/>
      <c r="H1062" s="60" t="s">
        <v>80</v>
      </c>
      <c r="I1062" s="119" t="s">
        <v>22</v>
      </c>
      <c r="J1062" s="424" t="s">
        <v>81</v>
      </c>
      <c r="K1062" s="425"/>
      <c r="L1062" s="426"/>
    </row>
    <row r="1063" spans="1:12" ht="18" customHeight="1" x14ac:dyDescent="0.3">
      <c r="A1063" s="319"/>
      <c r="B1063" s="319"/>
      <c r="C1063" s="417"/>
      <c r="D1063" s="417"/>
      <c r="E1063" s="421"/>
      <c r="F1063" s="422"/>
      <c r="G1063" s="423"/>
      <c r="H1063" s="120" t="s">
        <v>40</v>
      </c>
      <c r="I1063" s="120">
        <f>VLOOKUP('전체 훈련생 평가 채점표'!$L$2,'기초데이타(작성필히)'!$A$5:$P$19,11)</f>
        <v>70</v>
      </c>
      <c r="J1063" s="314" t="s">
        <v>40</v>
      </c>
      <c r="K1063" s="314"/>
      <c r="L1063" s="427"/>
    </row>
    <row r="1064" spans="1:12" ht="18" customHeight="1" x14ac:dyDescent="0.3"/>
    <row r="1065" spans="1:12" ht="18" customHeight="1" x14ac:dyDescent="0.3">
      <c r="A1065" s="428" t="s">
        <v>82</v>
      </c>
      <c r="B1065" s="429"/>
      <c r="C1065" s="429"/>
      <c r="D1065" s="431" t="s">
        <v>83</v>
      </c>
      <c r="E1065" s="431"/>
      <c r="F1065" s="431"/>
      <c r="G1065" s="433" t="s">
        <v>84</v>
      </c>
      <c r="H1065" s="434"/>
      <c r="I1065" s="434"/>
      <c r="J1065" s="434"/>
      <c r="K1065" s="434"/>
      <c r="L1065" s="435"/>
    </row>
    <row r="1066" spans="1:12" ht="18" customHeight="1" x14ac:dyDescent="0.3">
      <c r="A1066" s="430"/>
      <c r="B1066" s="430"/>
      <c r="C1066" s="430"/>
      <c r="D1066" s="432"/>
      <c r="E1066" s="432"/>
      <c r="F1066" s="432"/>
      <c r="G1066" s="436"/>
      <c r="H1066" s="437"/>
      <c r="I1066" s="437"/>
      <c r="J1066" s="437"/>
      <c r="K1066" s="437"/>
      <c r="L1066" s="438"/>
    </row>
    <row r="1067" spans="1:12" ht="18" customHeight="1" x14ac:dyDescent="0.3">
      <c r="A1067" s="383" t="str">
        <f>$C1062</f>
        <v/>
      </c>
      <c r="B1067" s="439"/>
      <c r="C1067" s="439"/>
      <c r="D1067" s="441" t="str">
        <f>$H1060</f>
        <v>이창훈</v>
      </c>
      <c r="E1067" s="443" t="s">
        <v>25</v>
      </c>
      <c r="F1067" s="444"/>
      <c r="G1067" s="382" t="s">
        <v>85</v>
      </c>
      <c r="H1067" s="447">
        <f>VLOOKUP('전체 훈련생 평가 채점표'!$L$2,'기초데이타(작성필히)'!$A$5:$P$19,13)</f>
        <v>44524</v>
      </c>
      <c r="I1067" s="448"/>
      <c r="J1067" s="448"/>
      <c r="K1067" s="449"/>
      <c r="L1067" s="391" t="s">
        <v>86</v>
      </c>
    </row>
    <row r="1068" spans="1:12" ht="18" customHeight="1" x14ac:dyDescent="0.3">
      <c r="A1068" s="440"/>
      <c r="B1068" s="440"/>
      <c r="C1068" s="440"/>
      <c r="D1068" s="442"/>
      <c r="E1068" s="445"/>
      <c r="F1068" s="446"/>
      <c r="G1068" s="384"/>
      <c r="H1068" s="450"/>
      <c r="I1068" s="451"/>
      <c r="J1068" s="451"/>
      <c r="K1068" s="452"/>
      <c r="L1068" s="392"/>
    </row>
    <row r="1069" spans="1:12" ht="18" customHeight="1" x14ac:dyDescent="0.3">
      <c r="A1069" s="380" t="s">
        <v>87</v>
      </c>
      <c r="B1069" s="380"/>
      <c r="C1069" s="380"/>
      <c r="D1069" s="382" t="str">
        <f>$C1060</f>
        <v>[0803020911_18v3]</v>
      </c>
      <c r="E1069" s="382"/>
      <c r="F1069" s="382"/>
      <c r="G1069" s="382" t="s">
        <v>88</v>
      </c>
      <c r="H1069" s="385"/>
      <c r="I1069" s="386"/>
      <c r="J1069" s="386"/>
      <c r="K1069" s="387"/>
      <c r="L1069" s="391" t="s">
        <v>86</v>
      </c>
    </row>
    <row r="1070" spans="1:12" ht="18" customHeight="1" x14ac:dyDescent="0.3">
      <c r="A1070" s="381"/>
      <c r="B1070" s="381"/>
      <c r="C1070" s="381"/>
      <c r="D1070" s="383"/>
      <c r="E1070" s="383"/>
      <c r="F1070" s="383"/>
      <c r="G1070" s="384"/>
      <c r="H1070" s="388"/>
      <c r="I1070" s="389"/>
      <c r="J1070" s="389"/>
      <c r="K1070" s="390"/>
      <c r="L1070" s="392"/>
    </row>
    <row r="1071" spans="1:12" ht="18" customHeight="1" x14ac:dyDescent="0.3">
      <c r="A1071" s="393" t="str">
        <f>VLOOKUP('전체 훈련생 평가 채점표'!$L$2,'기초데이타(작성필히)'!$A$5:$P$19,7)</f>
        <v>스타일가이드제작 및 시안디자인 제작2</v>
      </c>
      <c r="B1071" s="393"/>
      <c r="C1071" s="393"/>
      <c r="D1071" s="383" t="str">
        <f>$C1061</f>
        <v xml:space="preserve">  스마트문화앱UX설계</v>
      </c>
      <c r="E1071" s="383"/>
      <c r="F1071" s="383"/>
      <c r="G1071" s="382" t="s">
        <v>89</v>
      </c>
      <c r="H1071" s="385"/>
      <c r="I1071" s="386"/>
      <c r="J1071" s="386"/>
      <c r="K1071" s="387"/>
      <c r="L1071" s="391" t="s">
        <v>86</v>
      </c>
    </row>
    <row r="1072" spans="1:12" ht="18" customHeight="1" x14ac:dyDescent="0.3">
      <c r="A1072" s="394"/>
      <c r="B1072" s="394"/>
      <c r="C1072" s="394"/>
      <c r="D1072" s="384"/>
      <c r="E1072" s="384"/>
      <c r="F1072" s="384"/>
      <c r="G1072" s="384"/>
      <c r="H1072" s="388"/>
      <c r="I1072" s="389"/>
      <c r="J1072" s="389"/>
      <c r="K1072" s="390"/>
      <c r="L1072" s="392"/>
    </row>
    <row r="1073" spans="1:12" ht="18" customHeight="1" x14ac:dyDescent="0.3">
      <c r="A1073" s="395" t="s">
        <v>90</v>
      </c>
      <c r="B1073" s="396"/>
      <c r="C1073" s="396"/>
      <c r="D1073" s="396"/>
      <c r="E1073" s="396"/>
      <c r="F1073" s="397"/>
      <c r="G1073" s="398" t="s">
        <v>91</v>
      </c>
      <c r="H1073" s="399"/>
      <c r="I1073" s="399"/>
      <c r="J1073" s="399"/>
      <c r="K1073" s="399"/>
      <c r="L1073" s="400"/>
    </row>
    <row r="1074" spans="1:12" ht="18" customHeight="1" x14ac:dyDescent="0.3">
      <c r="A1074" s="395"/>
      <c r="B1074" s="396"/>
      <c r="C1074" s="396"/>
      <c r="D1074" s="396"/>
      <c r="E1074" s="396"/>
      <c r="F1074" s="397"/>
      <c r="G1074" s="401"/>
      <c r="H1074" s="402"/>
      <c r="I1074" s="402"/>
      <c r="J1074" s="402"/>
      <c r="K1074" s="402"/>
      <c r="L1074" s="403"/>
    </row>
    <row r="1075" spans="1:12" ht="18" customHeight="1" x14ac:dyDescent="0.3">
      <c r="A1075" s="341" t="s">
        <v>126</v>
      </c>
      <c r="B1075" s="342"/>
      <c r="C1075" s="342"/>
      <c r="D1075" s="342"/>
      <c r="E1075" s="342"/>
      <c r="F1075" s="343"/>
      <c r="G1075" s="404" t="s">
        <v>92</v>
      </c>
      <c r="H1075" s="406" t="s">
        <v>93</v>
      </c>
      <c r="I1075" s="407"/>
      <c r="J1075" s="407"/>
      <c r="K1075" s="407"/>
      <c r="L1075" s="408"/>
    </row>
    <row r="1076" spans="1:12" ht="18" customHeight="1" x14ac:dyDescent="0.3">
      <c r="A1076" s="341"/>
      <c r="B1076" s="342"/>
      <c r="C1076" s="342"/>
      <c r="D1076" s="342"/>
      <c r="E1076" s="342"/>
      <c r="F1076" s="343"/>
      <c r="G1076" s="405"/>
      <c r="H1076" s="409"/>
      <c r="I1076" s="410"/>
      <c r="J1076" s="410"/>
      <c r="K1076" s="410"/>
      <c r="L1076" s="411"/>
    </row>
    <row r="1077" spans="1:12" ht="18" customHeight="1" x14ac:dyDescent="0.3">
      <c r="A1077" s="341"/>
      <c r="B1077" s="342"/>
      <c r="C1077" s="342"/>
      <c r="D1077" s="342"/>
      <c r="E1077" s="342"/>
      <c r="F1077" s="343"/>
      <c r="G1077" s="323" t="str">
        <f>IF($J1095&gt;=90,"○","")</f>
        <v/>
      </c>
      <c r="H1077" s="326" t="s">
        <v>94</v>
      </c>
      <c r="I1077" s="327"/>
      <c r="J1077" s="327"/>
      <c r="K1077" s="327"/>
      <c r="L1077" s="328"/>
    </row>
    <row r="1078" spans="1:12" ht="18" customHeight="1" x14ac:dyDescent="0.3">
      <c r="A1078" s="341"/>
      <c r="B1078" s="342"/>
      <c r="C1078" s="342"/>
      <c r="D1078" s="342"/>
      <c r="E1078" s="342"/>
      <c r="F1078" s="343"/>
      <c r="G1078" s="324"/>
      <c r="H1078" s="329"/>
      <c r="I1078" s="330"/>
      <c r="J1078" s="330"/>
      <c r="K1078" s="330"/>
      <c r="L1078" s="331"/>
    </row>
    <row r="1079" spans="1:12" ht="18" customHeight="1" x14ac:dyDescent="0.3">
      <c r="A1079" s="341"/>
      <c r="B1079" s="342"/>
      <c r="C1079" s="342"/>
      <c r="D1079" s="342"/>
      <c r="E1079" s="342"/>
      <c r="F1079" s="343"/>
      <c r="G1079" s="325"/>
      <c r="H1079" s="332"/>
      <c r="I1079" s="333"/>
      <c r="J1079" s="333"/>
      <c r="K1079" s="333"/>
      <c r="L1079" s="334"/>
    </row>
    <row r="1080" spans="1:12" ht="18" customHeight="1" x14ac:dyDescent="0.3">
      <c r="A1080" s="341"/>
      <c r="B1080" s="342"/>
      <c r="C1080" s="342"/>
      <c r="D1080" s="342"/>
      <c r="E1080" s="342"/>
      <c r="F1080" s="343"/>
      <c r="G1080" s="323" t="str">
        <f>IF(AND($J1095&lt;=89.9,$J1095&gt;=80),"○","")</f>
        <v/>
      </c>
      <c r="H1080" s="326" t="s">
        <v>95</v>
      </c>
      <c r="I1080" s="327"/>
      <c r="J1080" s="327"/>
      <c r="K1080" s="327"/>
      <c r="L1080" s="328"/>
    </row>
    <row r="1081" spans="1:12" ht="18" customHeight="1" x14ac:dyDescent="0.3">
      <c r="A1081" s="341"/>
      <c r="B1081" s="342"/>
      <c r="C1081" s="342"/>
      <c r="D1081" s="342"/>
      <c r="E1081" s="342"/>
      <c r="F1081" s="343"/>
      <c r="G1081" s="324"/>
      <c r="H1081" s="329"/>
      <c r="I1081" s="330"/>
      <c r="J1081" s="330"/>
      <c r="K1081" s="330"/>
      <c r="L1081" s="331"/>
    </row>
    <row r="1082" spans="1:12" ht="18" customHeight="1" x14ac:dyDescent="0.3">
      <c r="A1082" s="341"/>
      <c r="B1082" s="342"/>
      <c r="C1082" s="342"/>
      <c r="D1082" s="342"/>
      <c r="E1082" s="342"/>
      <c r="F1082" s="343"/>
      <c r="G1082" s="325"/>
      <c r="H1082" s="332"/>
      <c r="I1082" s="333"/>
      <c r="J1082" s="333"/>
      <c r="K1082" s="333"/>
      <c r="L1082" s="334"/>
    </row>
    <row r="1083" spans="1:12" ht="18" customHeight="1" x14ac:dyDescent="0.3">
      <c r="A1083" s="341"/>
      <c r="B1083" s="342"/>
      <c r="C1083" s="342"/>
      <c r="D1083" s="342"/>
      <c r="E1083" s="342"/>
      <c r="F1083" s="343"/>
      <c r="G1083" s="323" t="str">
        <f>IF(AND($J1095&lt;=79.9,$J1095&gt;=70),"○","")</f>
        <v/>
      </c>
      <c r="H1083" s="326" t="s">
        <v>96</v>
      </c>
      <c r="I1083" s="327"/>
      <c r="J1083" s="327"/>
      <c r="K1083" s="327"/>
      <c r="L1083" s="328"/>
    </row>
    <row r="1084" spans="1:12" ht="18" customHeight="1" x14ac:dyDescent="0.3">
      <c r="A1084" s="341"/>
      <c r="B1084" s="342"/>
      <c r="C1084" s="342"/>
      <c r="D1084" s="342"/>
      <c r="E1084" s="342"/>
      <c r="F1084" s="343"/>
      <c r="G1084" s="324"/>
      <c r="H1084" s="329"/>
      <c r="I1084" s="330"/>
      <c r="J1084" s="330"/>
      <c r="K1084" s="330"/>
      <c r="L1084" s="331"/>
    </row>
    <row r="1085" spans="1:12" ht="18" customHeight="1" x14ac:dyDescent="0.3">
      <c r="A1085" s="344" t="str">
        <f>"- "&amp;'전체 훈련생 평가 채점표'!$G$8</f>
        <v>- 0</v>
      </c>
      <c r="B1085" s="345"/>
      <c r="C1085" s="345"/>
      <c r="D1085" s="345"/>
      <c r="E1085" s="345"/>
      <c r="F1085" s="346"/>
      <c r="G1085" s="325"/>
      <c r="H1085" s="332"/>
      <c r="I1085" s="333"/>
      <c r="J1085" s="333"/>
      <c r="K1085" s="333"/>
      <c r="L1085" s="334"/>
    </row>
    <row r="1086" spans="1:12" ht="18" customHeight="1" x14ac:dyDescent="0.3">
      <c r="A1086" s="344" t="str">
        <f>"- "&amp;'전체 훈련생 평가 채점표'!$F$8</f>
        <v>- 포트폴리오</v>
      </c>
      <c r="B1086" s="345"/>
      <c r="C1086" s="345"/>
      <c r="D1086" s="345"/>
      <c r="E1086" s="345"/>
      <c r="F1086" s="346"/>
      <c r="G1086" s="323" t="str">
        <f>IF(AND($J1095&lt;=69.9,$J1095&gt;=60),"○","")</f>
        <v/>
      </c>
      <c r="H1086" s="326" t="s">
        <v>97</v>
      </c>
      <c r="I1086" s="327"/>
      <c r="J1086" s="327"/>
      <c r="K1086" s="327"/>
      <c r="L1086" s="328"/>
    </row>
    <row r="1087" spans="1:12" ht="18" customHeight="1" x14ac:dyDescent="0.3">
      <c r="A1087" s="347"/>
      <c r="B1087" s="348"/>
      <c r="C1087" s="348"/>
      <c r="D1087" s="348"/>
      <c r="E1087" s="348"/>
      <c r="F1087" s="349"/>
      <c r="G1087" s="324"/>
      <c r="H1087" s="329"/>
      <c r="I1087" s="330"/>
      <c r="J1087" s="330"/>
      <c r="K1087" s="330"/>
      <c r="L1087" s="331"/>
    </row>
    <row r="1088" spans="1:12" ht="18" customHeight="1" x14ac:dyDescent="0.3">
      <c r="A1088" s="347"/>
      <c r="B1088" s="348"/>
      <c r="C1088" s="348"/>
      <c r="D1088" s="348"/>
      <c r="E1088" s="348"/>
      <c r="F1088" s="349"/>
      <c r="G1088" s="325"/>
      <c r="H1088" s="332"/>
      <c r="I1088" s="333"/>
      <c r="J1088" s="333"/>
      <c r="K1088" s="333"/>
      <c r="L1088" s="334"/>
    </row>
    <row r="1089" spans="1:12" ht="18" customHeight="1" x14ac:dyDescent="0.3">
      <c r="A1089" s="347"/>
      <c r="B1089" s="348"/>
      <c r="C1089" s="348"/>
      <c r="D1089" s="348"/>
      <c r="E1089" s="348"/>
      <c r="F1089" s="349"/>
      <c r="G1089" s="323" t="str">
        <f>IF($J1095&lt;=59.9,"○","")</f>
        <v>○</v>
      </c>
      <c r="H1089" s="326" t="s">
        <v>98</v>
      </c>
      <c r="I1089" s="327"/>
      <c r="J1089" s="327"/>
      <c r="K1089" s="327"/>
      <c r="L1089" s="328"/>
    </row>
    <row r="1090" spans="1:12" ht="18" customHeight="1" x14ac:dyDescent="0.3">
      <c r="A1090" s="347"/>
      <c r="B1090" s="348"/>
      <c r="C1090" s="348"/>
      <c r="D1090" s="348"/>
      <c r="E1090" s="348"/>
      <c r="F1090" s="349"/>
      <c r="G1090" s="324"/>
      <c r="H1090" s="329"/>
      <c r="I1090" s="330"/>
      <c r="J1090" s="330"/>
      <c r="K1090" s="330"/>
      <c r="L1090" s="331"/>
    </row>
    <row r="1091" spans="1:12" ht="18" customHeight="1" x14ac:dyDescent="0.3">
      <c r="A1091" s="347"/>
      <c r="B1091" s="348"/>
      <c r="C1091" s="348"/>
      <c r="D1091" s="348"/>
      <c r="E1091" s="348"/>
      <c r="F1091" s="349"/>
      <c r="G1091" s="325"/>
      <c r="H1091" s="332"/>
      <c r="I1091" s="333"/>
      <c r="J1091" s="333"/>
      <c r="K1091" s="333"/>
      <c r="L1091" s="334"/>
    </row>
    <row r="1092" spans="1:12" ht="18" customHeight="1" x14ac:dyDescent="0.3">
      <c r="A1092" s="347"/>
      <c r="B1092" s="348"/>
      <c r="C1092" s="348"/>
      <c r="D1092" s="348"/>
      <c r="E1092" s="348"/>
      <c r="F1092" s="349"/>
      <c r="G1092" s="335" t="s">
        <v>99</v>
      </c>
      <c r="H1092" s="336"/>
      <c r="I1092" s="336"/>
      <c r="J1092" s="336"/>
      <c r="K1092" s="336"/>
      <c r="L1092" s="337"/>
    </row>
    <row r="1093" spans="1:12" ht="18" customHeight="1" x14ac:dyDescent="0.3">
      <c r="A1093" s="350"/>
      <c r="B1093" s="351"/>
      <c r="C1093" s="351"/>
      <c r="D1093" s="351"/>
      <c r="E1093" s="351"/>
      <c r="F1093" s="352"/>
      <c r="G1093" s="338"/>
      <c r="H1093" s="339"/>
      <c r="I1093" s="339"/>
      <c r="J1093" s="339"/>
      <c r="K1093" s="339"/>
      <c r="L1093" s="340"/>
    </row>
    <row r="1094" spans="1:12" ht="18" customHeight="1" x14ac:dyDescent="0.3">
      <c r="A1094" s="353">
        <f>A1050</f>
        <v>0</v>
      </c>
      <c r="B1094" s="354"/>
      <c r="C1094" s="355"/>
      <c r="D1094" s="356"/>
      <c r="E1094" s="357"/>
      <c r="F1094" s="357"/>
      <c r="G1094" s="357"/>
      <c r="H1094" s="357"/>
      <c r="I1094" s="358"/>
      <c r="J1094" s="359" t="s">
        <v>125</v>
      </c>
      <c r="K1094" s="360"/>
      <c r="L1094" s="361"/>
    </row>
    <row r="1095" spans="1:12" ht="18" customHeight="1" x14ac:dyDescent="0.3">
      <c r="A1095" s="362" t="str">
        <f>A1051</f>
        <v>포트폴리오</v>
      </c>
      <c r="B1095" s="363"/>
      <c r="C1095" s="364"/>
      <c r="D1095" s="365" t="str">
        <f>'전체 훈련생 평가 채점표'!F33</f>
        <v/>
      </c>
      <c r="E1095" s="366"/>
      <c r="F1095" s="366"/>
      <c r="G1095" s="366"/>
      <c r="H1095" s="366"/>
      <c r="I1095" s="367"/>
      <c r="J1095" s="368">
        <f>IFERROR((D1094+D1095+D1096),0)</f>
        <v>0</v>
      </c>
      <c r="K1095" s="369"/>
      <c r="L1095" s="370"/>
    </row>
    <row r="1096" spans="1:12" ht="18" customHeight="1" x14ac:dyDescent="0.3">
      <c r="A1096" s="374">
        <f>A1052</f>
        <v>0</v>
      </c>
      <c r="B1096" s="375"/>
      <c r="C1096" s="376"/>
      <c r="D1096" s="377" t="str">
        <f>'전체 훈련생 평가 채점표'!G33</f>
        <v/>
      </c>
      <c r="E1096" s="378"/>
      <c r="F1096" s="378"/>
      <c r="G1096" s="378"/>
      <c r="H1096" s="378"/>
      <c r="I1096" s="379"/>
      <c r="J1096" s="371"/>
      <c r="K1096" s="372"/>
      <c r="L1096" s="373"/>
    </row>
    <row r="1097" spans="1:12" ht="18" customHeight="1" x14ac:dyDescent="0.3">
      <c r="A1097" s="303" t="s">
        <v>11</v>
      </c>
      <c r="B1097" s="304"/>
      <c r="C1097" s="304"/>
      <c r="D1097" s="304"/>
      <c r="E1097" s="304"/>
      <c r="F1097" s="304"/>
      <c r="G1097" s="304"/>
      <c r="H1097" s="304"/>
      <c r="I1097" s="304"/>
      <c r="J1097" s="304"/>
      <c r="K1097" s="304"/>
      <c r="L1097" s="305"/>
    </row>
    <row r="1098" spans="1:12" ht="18" customHeight="1" x14ac:dyDescent="0.3">
      <c r="A1098" s="306" t="s">
        <v>100</v>
      </c>
      <c r="B1098" s="307"/>
      <c r="C1098" s="307"/>
      <c r="D1098" s="307"/>
      <c r="E1098" s="307"/>
      <c r="F1098" s="307"/>
      <c r="G1098" s="307"/>
      <c r="H1098" s="307"/>
      <c r="I1098" s="307"/>
      <c r="J1098" s="307"/>
      <c r="K1098" s="307"/>
      <c r="L1098" s="308"/>
    </row>
    <row r="1099" spans="1:12" ht="18" customHeight="1" x14ac:dyDescent="0.3">
      <c r="A1099" s="309" t="s">
        <v>92</v>
      </c>
      <c r="B1099" s="309"/>
      <c r="C1099" s="309"/>
      <c r="D1099" s="310" t="s">
        <v>101</v>
      </c>
      <c r="E1099" s="311"/>
      <c r="F1099" s="310" t="s">
        <v>102</v>
      </c>
      <c r="G1099" s="312"/>
      <c r="H1099" s="311"/>
      <c r="I1099" s="313">
        <f>$J1095</f>
        <v>0</v>
      </c>
      <c r="J1099" s="313"/>
      <c r="K1099" s="315" t="s">
        <v>103</v>
      </c>
      <c r="L1099" s="316"/>
    </row>
    <row r="1100" spans="1:12" ht="18" customHeight="1" x14ac:dyDescent="0.3">
      <c r="A1100" s="319" t="s">
        <v>104</v>
      </c>
      <c r="B1100" s="319"/>
      <c r="C1100" s="319"/>
      <c r="D1100" s="320" t="s">
        <v>105</v>
      </c>
      <c r="E1100" s="321"/>
      <c r="F1100" s="320" t="s">
        <v>106</v>
      </c>
      <c r="G1100" s="322"/>
      <c r="H1100" s="321"/>
      <c r="I1100" s="314"/>
      <c r="J1100" s="314"/>
      <c r="K1100" s="317"/>
      <c r="L1100" s="318"/>
    </row>
    <row r="1101" spans="1:12" ht="18" customHeight="1" x14ac:dyDescent="0.3">
      <c r="A1101" s="453" t="str">
        <f>MID(VLOOKUP('전체 훈련생 평가 채점표'!$L$2,'기초데이타(작성필히)'!$A$5:$P$19,9),18,50)&amp;" 수행평가"</f>
        <v xml:space="preserve">  스마트문화앱UX설계 수행평가</v>
      </c>
      <c r="B1101" s="453"/>
      <c r="C1101" s="453"/>
      <c r="D1101" s="453"/>
      <c r="E1101" s="453"/>
      <c r="F1101" s="453"/>
      <c r="G1101" s="453"/>
      <c r="H1101" s="453"/>
      <c r="I1101" s="453"/>
      <c r="J1101" s="453"/>
      <c r="K1101" s="453"/>
      <c r="L1101" s="453"/>
    </row>
    <row r="1102" spans="1:12" ht="18" customHeight="1" x14ac:dyDescent="0.3">
      <c r="A1102" s="309" t="s">
        <v>16</v>
      </c>
      <c r="B1102" s="454">
        <f>VLOOKUP('전체 훈련생 평가 채점표'!$L$2,'기초데이타(작성필히)'!$A$5:$P$19,3)</f>
        <v>2021</v>
      </c>
      <c r="C1102" s="454" t="s">
        <v>17</v>
      </c>
      <c r="D1102" s="455" t="str">
        <f>VLOOKUP('전체 훈련생 평가 채점표'!$L$2,'기초데이타(작성필히)'!$A$5:$P$19,4)</f>
        <v>[디지털디자인]반응형 웹디자인(UIUX) &amp; 웹퍼블리셔 디지털 실무 양성과정 A-5</v>
      </c>
      <c r="E1102" s="455"/>
      <c r="F1102" s="455"/>
      <c r="G1102" s="454" t="s">
        <v>18</v>
      </c>
      <c r="H1102" s="359" t="str">
        <f>VLOOKUP('전체 훈련생 평가 채점표'!$L$2,'기초데이타(작성필히)'!$A$5:$P$19,5)</f>
        <v>21.08.31 ~ 22.02.07</v>
      </c>
      <c r="I1102" s="360"/>
      <c r="J1102" s="361"/>
      <c r="K1102" s="460" t="s">
        <v>78</v>
      </c>
      <c r="L1102" s="309" t="str">
        <f>VLOOKUP('전체 훈련생 평가 채점표'!$L$2,'기초데이타(작성필히)'!$A$5:$P$19,6)</f>
        <v>760H</v>
      </c>
    </row>
    <row r="1103" spans="1:12" ht="18" customHeight="1" x14ac:dyDescent="0.3">
      <c r="A1103" s="412"/>
      <c r="B1103" s="413"/>
      <c r="C1103" s="413"/>
      <c r="D1103" s="456"/>
      <c r="E1103" s="456"/>
      <c r="F1103" s="456"/>
      <c r="G1103" s="413"/>
      <c r="H1103" s="457"/>
      <c r="I1103" s="458"/>
      <c r="J1103" s="459"/>
      <c r="K1103" s="461"/>
      <c r="L1103" s="412"/>
    </row>
    <row r="1104" spans="1:12" ht="18" customHeight="1" x14ac:dyDescent="0.3">
      <c r="A1104" s="412" t="s">
        <v>23</v>
      </c>
      <c r="B1104" s="412"/>
      <c r="C1104" s="412" t="str">
        <f>LEFT(VLOOKUP('전체 훈련생 평가 채점표'!$L$2,'기초데이타(작성필히)'!$A$5:$P$19,9),17)</f>
        <v>[0803020911_18v3]</v>
      </c>
      <c r="D1104" s="412"/>
      <c r="E1104" s="412"/>
      <c r="F1104" s="412"/>
      <c r="G1104" s="413" t="s">
        <v>24</v>
      </c>
      <c r="H1104" s="412" t="str">
        <f>VLOOKUP('전체 훈련생 평가 채점표'!$L$2,'기초데이타(작성필히)'!$A$5:$P$19,12)</f>
        <v>이창훈</v>
      </c>
      <c r="I1104" s="412"/>
      <c r="J1104" s="412"/>
      <c r="K1104" s="414"/>
      <c r="L1104" s="415" t="s">
        <v>25</v>
      </c>
    </row>
    <row r="1105" spans="1:12" ht="18" customHeight="1" x14ac:dyDescent="0.3">
      <c r="A1105" s="412"/>
      <c r="B1105" s="412"/>
      <c r="C1105" s="412" t="str">
        <f>MID(VLOOKUP('전체 훈련생 평가 채점표'!$L$2,'기초데이타(작성필히)'!$A$5:$P$19,9),18,50)</f>
        <v xml:space="preserve">  스마트문화앱UX설계</v>
      </c>
      <c r="D1105" s="412"/>
      <c r="E1105" s="412"/>
      <c r="F1105" s="412"/>
      <c r="G1105" s="413"/>
      <c r="H1105" s="412"/>
      <c r="I1105" s="412"/>
      <c r="J1105" s="412"/>
      <c r="K1105" s="414"/>
      <c r="L1105" s="416"/>
    </row>
    <row r="1106" spans="1:12" ht="18" customHeight="1" x14ac:dyDescent="0.3">
      <c r="A1106" s="412" t="s">
        <v>79</v>
      </c>
      <c r="B1106" s="412"/>
      <c r="C1106" s="413" t="str">
        <f>'전체 훈련생 평가 채점표'!B34</f>
        <v/>
      </c>
      <c r="D1106" s="413" t="s">
        <v>21</v>
      </c>
      <c r="E1106" s="418" t="str">
        <f>VLOOKUP('전체 훈련생 평가 채점표'!$L$2,'기초데이타(작성필히)'!$A$5:$P$19,10)</f>
        <v>21.11.11~21.11.24</v>
      </c>
      <c r="F1106" s="419"/>
      <c r="G1106" s="420"/>
      <c r="H1106" s="60" t="s">
        <v>80</v>
      </c>
      <c r="I1106" s="119" t="s">
        <v>22</v>
      </c>
      <c r="J1106" s="424" t="s">
        <v>81</v>
      </c>
      <c r="K1106" s="425"/>
      <c r="L1106" s="426"/>
    </row>
    <row r="1107" spans="1:12" ht="18" customHeight="1" x14ac:dyDescent="0.3">
      <c r="A1107" s="319"/>
      <c r="B1107" s="319"/>
      <c r="C1107" s="417"/>
      <c r="D1107" s="417"/>
      <c r="E1107" s="421"/>
      <c r="F1107" s="422"/>
      <c r="G1107" s="423"/>
      <c r="H1107" s="120" t="s">
        <v>40</v>
      </c>
      <c r="I1107" s="120">
        <f>VLOOKUP('전체 훈련생 평가 채점표'!$L$2,'기초데이타(작성필히)'!$A$5:$P$19,11)</f>
        <v>70</v>
      </c>
      <c r="J1107" s="314" t="s">
        <v>40</v>
      </c>
      <c r="K1107" s="314"/>
      <c r="L1107" s="427"/>
    </row>
    <row r="1108" spans="1:12" ht="18" customHeight="1" x14ac:dyDescent="0.3"/>
    <row r="1109" spans="1:12" ht="18" customHeight="1" x14ac:dyDescent="0.3">
      <c r="A1109" s="428" t="s">
        <v>82</v>
      </c>
      <c r="B1109" s="429"/>
      <c r="C1109" s="429"/>
      <c r="D1109" s="431" t="s">
        <v>83</v>
      </c>
      <c r="E1109" s="431"/>
      <c r="F1109" s="431"/>
      <c r="G1109" s="433" t="s">
        <v>84</v>
      </c>
      <c r="H1109" s="434"/>
      <c r="I1109" s="434"/>
      <c r="J1109" s="434"/>
      <c r="K1109" s="434"/>
      <c r="L1109" s="435"/>
    </row>
    <row r="1110" spans="1:12" ht="18" customHeight="1" x14ac:dyDescent="0.3">
      <c r="A1110" s="430"/>
      <c r="B1110" s="430"/>
      <c r="C1110" s="430"/>
      <c r="D1110" s="432"/>
      <c r="E1110" s="432"/>
      <c r="F1110" s="432"/>
      <c r="G1110" s="436"/>
      <c r="H1110" s="437"/>
      <c r="I1110" s="437"/>
      <c r="J1110" s="437"/>
      <c r="K1110" s="437"/>
      <c r="L1110" s="438"/>
    </row>
    <row r="1111" spans="1:12" ht="18" customHeight="1" x14ac:dyDescent="0.3">
      <c r="A1111" s="383" t="str">
        <f>$C1106</f>
        <v/>
      </c>
      <c r="B1111" s="439"/>
      <c r="C1111" s="439"/>
      <c r="D1111" s="441" t="str">
        <f>$H1104</f>
        <v>이창훈</v>
      </c>
      <c r="E1111" s="443" t="s">
        <v>25</v>
      </c>
      <c r="F1111" s="444"/>
      <c r="G1111" s="382" t="s">
        <v>85</v>
      </c>
      <c r="H1111" s="447">
        <f>VLOOKUP('전체 훈련생 평가 채점표'!$L$2,'기초데이타(작성필히)'!$A$5:$P$19,13)</f>
        <v>44524</v>
      </c>
      <c r="I1111" s="448"/>
      <c r="J1111" s="448"/>
      <c r="K1111" s="449"/>
      <c r="L1111" s="391" t="s">
        <v>86</v>
      </c>
    </row>
    <row r="1112" spans="1:12" ht="18" customHeight="1" x14ac:dyDescent="0.3">
      <c r="A1112" s="440"/>
      <c r="B1112" s="440"/>
      <c r="C1112" s="440"/>
      <c r="D1112" s="442"/>
      <c r="E1112" s="445"/>
      <c r="F1112" s="446"/>
      <c r="G1112" s="384"/>
      <c r="H1112" s="450"/>
      <c r="I1112" s="451"/>
      <c r="J1112" s="451"/>
      <c r="K1112" s="452"/>
      <c r="L1112" s="392"/>
    </row>
    <row r="1113" spans="1:12" ht="18" customHeight="1" x14ac:dyDescent="0.3">
      <c r="A1113" s="380" t="s">
        <v>87</v>
      </c>
      <c r="B1113" s="380"/>
      <c r="C1113" s="380"/>
      <c r="D1113" s="382" t="str">
        <f>$C1104</f>
        <v>[0803020911_18v3]</v>
      </c>
      <c r="E1113" s="382"/>
      <c r="F1113" s="382"/>
      <c r="G1113" s="382" t="s">
        <v>88</v>
      </c>
      <c r="H1113" s="385"/>
      <c r="I1113" s="386"/>
      <c r="J1113" s="386"/>
      <c r="K1113" s="387"/>
      <c r="L1113" s="391" t="s">
        <v>86</v>
      </c>
    </row>
    <row r="1114" spans="1:12" ht="18" customHeight="1" x14ac:dyDescent="0.3">
      <c r="A1114" s="381"/>
      <c r="B1114" s="381"/>
      <c r="C1114" s="381"/>
      <c r="D1114" s="383"/>
      <c r="E1114" s="383"/>
      <c r="F1114" s="383"/>
      <c r="G1114" s="384"/>
      <c r="H1114" s="388"/>
      <c r="I1114" s="389"/>
      <c r="J1114" s="389"/>
      <c r="K1114" s="390"/>
      <c r="L1114" s="392"/>
    </row>
    <row r="1115" spans="1:12" ht="18" customHeight="1" x14ac:dyDescent="0.3">
      <c r="A1115" s="393" t="str">
        <f>VLOOKUP('전체 훈련생 평가 채점표'!$L$2,'기초데이타(작성필히)'!$A$5:$P$19,7)</f>
        <v>스타일가이드제작 및 시안디자인 제작2</v>
      </c>
      <c r="B1115" s="393"/>
      <c r="C1115" s="393"/>
      <c r="D1115" s="383" t="str">
        <f>$C1105</f>
        <v xml:space="preserve">  스마트문화앱UX설계</v>
      </c>
      <c r="E1115" s="383"/>
      <c r="F1115" s="383"/>
      <c r="G1115" s="382" t="s">
        <v>89</v>
      </c>
      <c r="H1115" s="385"/>
      <c r="I1115" s="386"/>
      <c r="J1115" s="386"/>
      <c r="K1115" s="387"/>
      <c r="L1115" s="391" t="s">
        <v>86</v>
      </c>
    </row>
    <row r="1116" spans="1:12" ht="18" customHeight="1" x14ac:dyDescent="0.3">
      <c r="A1116" s="394"/>
      <c r="B1116" s="394"/>
      <c r="C1116" s="394"/>
      <c r="D1116" s="384"/>
      <c r="E1116" s="384"/>
      <c r="F1116" s="384"/>
      <c r="G1116" s="384"/>
      <c r="H1116" s="388"/>
      <c r="I1116" s="389"/>
      <c r="J1116" s="389"/>
      <c r="K1116" s="390"/>
      <c r="L1116" s="392"/>
    </row>
    <row r="1117" spans="1:12" ht="18" customHeight="1" x14ac:dyDescent="0.3">
      <c r="A1117" s="395" t="s">
        <v>90</v>
      </c>
      <c r="B1117" s="396"/>
      <c r="C1117" s="396"/>
      <c r="D1117" s="396"/>
      <c r="E1117" s="396"/>
      <c r="F1117" s="397"/>
      <c r="G1117" s="398" t="s">
        <v>91</v>
      </c>
      <c r="H1117" s="399"/>
      <c r="I1117" s="399"/>
      <c r="J1117" s="399"/>
      <c r="K1117" s="399"/>
      <c r="L1117" s="400"/>
    </row>
    <row r="1118" spans="1:12" ht="18" customHeight="1" x14ac:dyDescent="0.3">
      <c r="A1118" s="395"/>
      <c r="B1118" s="396"/>
      <c r="C1118" s="396"/>
      <c r="D1118" s="396"/>
      <c r="E1118" s="396"/>
      <c r="F1118" s="397"/>
      <c r="G1118" s="401"/>
      <c r="H1118" s="402"/>
      <c r="I1118" s="402"/>
      <c r="J1118" s="402"/>
      <c r="K1118" s="402"/>
      <c r="L1118" s="403"/>
    </row>
    <row r="1119" spans="1:12" ht="18" customHeight="1" x14ac:dyDescent="0.3">
      <c r="A1119" s="341" t="s">
        <v>126</v>
      </c>
      <c r="B1119" s="342"/>
      <c r="C1119" s="342"/>
      <c r="D1119" s="342"/>
      <c r="E1119" s="342"/>
      <c r="F1119" s="343"/>
      <c r="G1119" s="404" t="s">
        <v>92</v>
      </c>
      <c r="H1119" s="406" t="s">
        <v>93</v>
      </c>
      <c r="I1119" s="407"/>
      <c r="J1119" s="407"/>
      <c r="K1119" s="407"/>
      <c r="L1119" s="408"/>
    </row>
    <row r="1120" spans="1:12" ht="18" customHeight="1" x14ac:dyDescent="0.3">
      <c r="A1120" s="341"/>
      <c r="B1120" s="342"/>
      <c r="C1120" s="342"/>
      <c r="D1120" s="342"/>
      <c r="E1120" s="342"/>
      <c r="F1120" s="343"/>
      <c r="G1120" s="405"/>
      <c r="H1120" s="409"/>
      <c r="I1120" s="410"/>
      <c r="J1120" s="410"/>
      <c r="K1120" s="410"/>
      <c r="L1120" s="411"/>
    </row>
    <row r="1121" spans="1:12" ht="18" customHeight="1" x14ac:dyDescent="0.3">
      <c r="A1121" s="341"/>
      <c r="B1121" s="342"/>
      <c r="C1121" s="342"/>
      <c r="D1121" s="342"/>
      <c r="E1121" s="342"/>
      <c r="F1121" s="343"/>
      <c r="G1121" s="323" t="str">
        <f>IF($J1139&gt;=90,"○","")</f>
        <v/>
      </c>
      <c r="H1121" s="326" t="s">
        <v>94</v>
      </c>
      <c r="I1121" s="327"/>
      <c r="J1121" s="327"/>
      <c r="K1121" s="327"/>
      <c r="L1121" s="328"/>
    </row>
    <row r="1122" spans="1:12" ht="18" customHeight="1" x14ac:dyDescent="0.3">
      <c r="A1122" s="341"/>
      <c r="B1122" s="342"/>
      <c r="C1122" s="342"/>
      <c r="D1122" s="342"/>
      <c r="E1122" s="342"/>
      <c r="F1122" s="343"/>
      <c r="G1122" s="324"/>
      <c r="H1122" s="329"/>
      <c r="I1122" s="330"/>
      <c r="J1122" s="330"/>
      <c r="K1122" s="330"/>
      <c r="L1122" s="331"/>
    </row>
    <row r="1123" spans="1:12" ht="18" customHeight="1" x14ac:dyDescent="0.3">
      <c r="A1123" s="341"/>
      <c r="B1123" s="342"/>
      <c r="C1123" s="342"/>
      <c r="D1123" s="342"/>
      <c r="E1123" s="342"/>
      <c r="F1123" s="343"/>
      <c r="G1123" s="325"/>
      <c r="H1123" s="332"/>
      <c r="I1123" s="333"/>
      <c r="J1123" s="333"/>
      <c r="K1123" s="333"/>
      <c r="L1123" s="334"/>
    </row>
    <row r="1124" spans="1:12" ht="18" customHeight="1" x14ac:dyDescent="0.3">
      <c r="A1124" s="341"/>
      <c r="B1124" s="342"/>
      <c r="C1124" s="342"/>
      <c r="D1124" s="342"/>
      <c r="E1124" s="342"/>
      <c r="F1124" s="343"/>
      <c r="G1124" s="323" t="str">
        <f>IF(AND($J1139&lt;=89.9,$J1139&gt;=80),"○","")</f>
        <v/>
      </c>
      <c r="H1124" s="326" t="s">
        <v>95</v>
      </c>
      <c r="I1124" s="327"/>
      <c r="J1124" s="327"/>
      <c r="K1124" s="327"/>
      <c r="L1124" s="328"/>
    </row>
    <row r="1125" spans="1:12" ht="18" customHeight="1" x14ac:dyDescent="0.3">
      <c r="A1125" s="341"/>
      <c r="B1125" s="342"/>
      <c r="C1125" s="342"/>
      <c r="D1125" s="342"/>
      <c r="E1125" s="342"/>
      <c r="F1125" s="343"/>
      <c r="G1125" s="324"/>
      <c r="H1125" s="329"/>
      <c r="I1125" s="330"/>
      <c r="J1125" s="330"/>
      <c r="K1125" s="330"/>
      <c r="L1125" s="331"/>
    </row>
    <row r="1126" spans="1:12" ht="18" customHeight="1" x14ac:dyDescent="0.3">
      <c r="A1126" s="341"/>
      <c r="B1126" s="342"/>
      <c r="C1126" s="342"/>
      <c r="D1126" s="342"/>
      <c r="E1126" s="342"/>
      <c r="F1126" s="343"/>
      <c r="G1126" s="325"/>
      <c r="H1126" s="332"/>
      <c r="I1126" s="333"/>
      <c r="J1126" s="333"/>
      <c r="K1126" s="333"/>
      <c r="L1126" s="334"/>
    </row>
    <row r="1127" spans="1:12" ht="18" customHeight="1" x14ac:dyDescent="0.3">
      <c r="A1127" s="341"/>
      <c r="B1127" s="342"/>
      <c r="C1127" s="342"/>
      <c r="D1127" s="342"/>
      <c r="E1127" s="342"/>
      <c r="F1127" s="343"/>
      <c r="G1127" s="323" t="str">
        <f>IF(AND($J1139&lt;=79.9,$J1139&gt;=70),"○","")</f>
        <v/>
      </c>
      <c r="H1127" s="326" t="s">
        <v>96</v>
      </c>
      <c r="I1127" s="327"/>
      <c r="J1127" s="327"/>
      <c r="K1127" s="327"/>
      <c r="L1127" s="328"/>
    </row>
    <row r="1128" spans="1:12" ht="18" customHeight="1" x14ac:dyDescent="0.3">
      <c r="A1128" s="341"/>
      <c r="B1128" s="342"/>
      <c r="C1128" s="342"/>
      <c r="D1128" s="342"/>
      <c r="E1128" s="342"/>
      <c r="F1128" s="343"/>
      <c r="G1128" s="324"/>
      <c r="H1128" s="329"/>
      <c r="I1128" s="330"/>
      <c r="J1128" s="330"/>
      <c r="K1128" s="330"/>
      <c r="L1128" s="331"/>
    </row>
    <row r="1129" spans="1:12" ht="18" customHeight="1" x14ac:dyDescent="0.3">
      <c r="A1129" s="344" t="str">
        <f>"- "&amp;'전체 훈련생 평가 채점표'!$G$8</f>
        <v>- 0</v>
      </c>
      <c r="B1129" s="345"/>
      <c r="C1129" s="345"/>
      <c r="D1129" s="345"/>
      <c r="E1129" s="345"/>
      <c r="F1129" s="346"/>
      <c r="G1129" s="325"/>
      <c r="H1129" s="332"/>
      <c r="I1129" s="333"/>
      <c r="J1129" s="333"/>
      <c r="K1129" s="333"/>
      <c r="L1129" s="334"/>
    </row>
    <row r="1130" spans="1:12" ht="18" customHeight="1" x14ac:dyDescent="0.3">
      <c r="A1130" s="344" t="str">
        <f>"- "&amp;'전체 훈련생 평가 채점표'!$F$8</f>
        <v>- 포트폴리오</v>
      </c>
      <c r="B1130" s="345"/>
      <c r="C1130" s="345"/>
      <c r="D1130" s="345"/>
      <c r="E1130" s="345"/>
      <c r="F1130" s="346"/>
      <c r="G1130" s="323" t="str">
        <f>IF(AND($J1139&lt;=69.9,$J1139&gt;=60),"○","")</f>
        <v/>
      </c>
      <c r="H1130" s="326" t="s">
        <v>97</v>
      </c>
      <c r="I1130" s="327"/>
      <c r="J1130" s="327"/>
      <c r="K1130" s="327"/>
      <c r="L1130" s="328"/>
    </row>
    <row r="1131" spans="1:12" ht="18" customHeight="1" x14ac:dyDescent="0.3">
      <c r="A1131" s="347"/>
      <c r="B1131" s="348"/>
      <c r="C1131" s="348"/>
      <c r="D1131" s="348"/>
      <c r="E1131" s="348"/>
      <c r="F1131" s="349"/>
      <c r="G1131" s="324"/>
      <c r="H1131" s="329"/>
      <c r="I1131" s="330"/>
      <c r="J1131" s="330"/>
      <c r="K1131" s="330"/>
      <c r="L1131" s="331"/>
    </row>
    <row r="1132" spans="1:12" ht="18" customHeight="1" x14ac:dyDescent="0.3">
      <c r="A1132" s="347"/>
      <c r="B1132" s="348"/>
      <c r="C1132" s="348"/>
      <c r="D1132" s="348"/>
      <c r="E1132" s="348"/>
      <c r="F1132" s="349"/>
      <c r="G1132" s="325"/>
      <c r="H1132" s="332"/>
      <c r="I1132" s="333"/>
      <c r="J1132" s="333"/>
      <c r="K1132" s="333"/>
      <c r="L1132" s="334"/>
    </row>
    <row r="1133" spans="1:12" ht="18" customHeight="1" x14ac:dyDescent="0.3">
      <c r="A1133" s="347"/>
      <c r="B1133" s="348"/>
      <c r="C1133" s="348"/>
      <c r="D1133" s="348"/>
      <c r="E1133" s="348"/>
      <c r="F1133" s="349"/>
      <c r="G1133" s="323" t="str">
        <f>IF($J1139&lt;=59.9,"○","")</f>
        <v>○</v>
      </c>
      <c r="H1133" s="326" t="s">
        <v>98</v>
      </c>
      <c r="I1133" s="327"/>
      <c r="J1133" s="327"/>
      <c r="K1133" s="327"/>
      <c r="L1133" s="328"/>
    </row>
    <row r="1134" spans="1:12" ht="18" customHeight="1" x14ac:dyDescent="0.3">
      <c r="A1134" s="347"/>
      <c r="B1134" s="348"/>
      <c r="C1134" s="348"/>
      <c r="D1134" s="348"/>
      <c r="E1134" s="348"/>
      <c r="F1134" s="349"/>
      <c r="G1134" s="324"/>
      <c r="H1134" s="329"/>
      <c r="I1134" s="330"/>
      <c r="J1134" s="330"/>
      <c r="K1134" s="330"/>
      <c r="L1134" s="331"/>
    </row>
    <row r="1135" spans="1:12" ht="18" customHeight="1" x14ac:dyDescent="0.3">
      <c r="A1135" s="347"/>
      <c r="B1135" s="348"/>
      <c r="C1135" s="348"/>
      <c r="D1135" s="348"/>
      <c r="E1135" s="348"/>
      <c r="F1135" s="349"/>
      <c r="G1135" s="325"/>
      <c r="H1135" s="332"/>
      <c r="I1135" s="333"/>
      <c r="J1135" s="333"/>
      <c r="K1135" s="333"/>
      <c r="L1135" s="334"/>
    </row>
    <row r="1136" spans="1:12" ht="18" customHeight="1" x14ac:dyDescent="0.3">
      <c r="A1136" s="347"/>
      <c r="B1136" s="348"/>
      <c r="C1136" s="348"/>
      <c r="D1136" s="348"/>
      <c r="E1136" s="348"/>
      <c r="F1136" s="349"/>
      <c r="G1136" s="335" t="s">
        <v>99</v>
      </c>
      <c r="H1136" s="336"/>
      <c r="I1136" s="336"/>
      <c r="J1136" s="336"/>
      <c r="K1136" s="336"/>
      <c r="L1136" s="337"/>
    </row>
    <row r="1137" spans="1:12" ht="18" customHeight="1" x14ac:dyDescent="0.3">
      <c r="A1137" s="350"/>
      <c r="B1137" s="351"/>
      <c r="C1137" s="351"/>
      <c r="D1137" s="351"/>
      <c r="E1137" s="351"/>
      <c r="F1137" s="352"/>
      <c r="G1137" s="338"/>
      <c r="H1137" s="339"/>
      <c r="I1137" s="339"/>
      <c r="J1137" s="339"/>
      <c r="K1137" s="339"/>
      <c r="L1137" s="340"/>
    </row>
    <row r="1138" spans="1:12" ht="18" customHeight="1" x14ac:dyDescent="0.3">
      <c r="A1138" s="353">
        <f>A1094</f>
        <v>0</v>
      </c>
      <c r="B1138" s="354"/>
      <c r="C1138" s="355"/>
      <c r="D1138" s="356"/>
      <c r="E1138" s="357"/>
      <c r="F1138" s="357"/>
      <c r="G1138" s="357"/>
      <c r="H1138" s="357"/>
      <c r="I1138" s="358"/>
      <c r="J1138" s="359" t="s">
        <v>125</v>
      </c>
      <c r="K1138" s="360"/>
      <c r="L1138" s="361"/>
    </row>
    <row r="1139" spans="1:12" ht="18" customHeight="1" x14ac:dyDescent="0.3">
      <c r="A1139" s="362" t="str">
        <f>A1095</f>
        <v>포트폴리오</v>
      </c>
      <c r="B1139" s="363"/>
      <c r="C1139" s="364"/>
      <c r="D1139" s="365" t="str">
        <f>'전체 훈련생 평가 채점표'!F34</f>
        <v/>
      </c>
      <c r="E1139" s="366"/>
      <c r="F1139" s="366"/>
      <c r="G1139" s="366"/>
      <c r="H1139" s="366"/>
      <c r="I1139" s="367"/>
      <c r="J1139" s="368">
        <f>IFERROR((D1138+D1139+D1140),0)</f>
        <v>0</v>
      </c>
      <c r="K1139" s="369"/>
      <c r="L1139" s="370"/>
    </row>
    <row r="1140" spans="1:12" ht="18" customHeight="1" x14ac:dyDescent="0.3">
      <c r="A1140" s="374">
        <f>A1096</f>
        <v>0</v>
      </c>
      <c r="B1140" s="375"/>
      <c r="C1140" s="376"/>
      <c r="D1140" s="377" t="str">
        <f>'전체 훈련생 평가 채점표'!G34</f>
        <v/>
      </c>
      <c r="E1140" s="378"/>
      <c r="F1140" s="378"/>
      <c r="G1140" s="378"/>
      <c r="H1140" s="378"/>
      <c r="I1140" s="379"/>
      <c r="J1140" s="371"/>
      <c r="K1140" s="372"/>
      <c r="L1140" s="373"/>
    </row>
    <row r="1141" spans="1:12" ht="18" customHeight="1" x14ac:dyDescent="0.3">
      <c r="A1141" s="303" t="s">
        <v>11</v>
      </c>
      <c r="B1141" s="304"/>
      <c r="C1141" s="304"/>
      <c r="D1141" s="304"/>
      <c r="E1141" s="304"/>
      <c r="F1141" s="304"/>
      <c r="G1141" s="304"/>
      <c r="H1141" s="304"/>
      <c r="I1141" s="304"/>
      <c r="J1141" s="304"/>
      <c r="K1141" s="304"/>
      <c r="L1141" s="305"/>
    </row>
    <row r="1142" spans="1:12" ht="18" customHeight="1" x14ac:dyDescent="0.3">
      <c r="A1142" s="306" t="s">
        <v>100</v>
      </c>
      <c r="B1142" s="307"/>
      <c r="C1142" s="307"/>
      <c r="D1142" s="307"/>
      <c r="E1142" s="307"/>
      <c r="F1142" s="307"/>
      <c r="G1142" s="307"/>
      <c r="H1142" s="307"/>
      <c r="I1142" s="307"/>
      <c r="J1142" s="307"/>
      <c r="K1142" s="307"/>
      <c r="L1142" s="308"/>
    </row>
    <row r="1143" spans="1:12" ht="18" customHeight="1" x14ac:dyDescent="0.3">
      <c r="A1143" s="309" t="s">
        <v>92</v>
      </c>
      <c r="B1143" s="309"/>
      <c r="C1143" s="309"/>
      <c r="D1143" s="310" t="s">
        <v>101</v>
      </c>
      <c r="E1143" s="311"/>
      <c r="F1143" s="310" t="s">
        <v>102</v>
      </c>
      <c r="G1143" s="312"/>
      <c r="H1143" s="311"/>
      <c r="I1143" s="313">
        <f>$J1139</f>
        <v>0</v>
      </c>
      <c r="J1143" s="313"/>
      <c r="K1143" s="315" t="s">
        <v>103</v>
      </c>
      <c r="L1143" s="316"/>
    </row>
    <row r="1144" spans="1:12" ht="18" customHeight="1" x14ac:dyDescent="0.3">
      <c r="A1144" s="319" t="s">
        <v>104</v>
      </c>
      <c r="B1144" s="319"/>
      <c r="C1144" s="319"/>
      <c r="D1144" s="320" t="s">
        <v>105</v>
      </c>
      <c r="E1144" s="321"/>
      <c r="F1144" s="320" t="s">
        <v>106</v>
      </c>
      <c r="G1144" s="322"/>
      <c r="H1144" s="321"/>
      <c r="I1144" s="314"/>
      <c r="J1144" s="314"/>
      <c r="K1144" s="317"/>
      <c r="L1144" s="318"/>
    </row>
    <row r="1145" spans="1:12" ht="18" customHeight="1" x14ac:dyDescent="0.3">
      <c r="A1145" s="453" t="str">
        <f>MID(VLOOKUP('전체 훈련생 평가 채점표'!$L$2,'기초데이타(작성필히)'!$A$5:$P$19,9),18,50)&amp;" 수행평가"</f>
        <v xml:space="preserve">  스마트문화앱UX설계 수행평가</v>
      </c>
      <c r="B1145" s="453"/>
      <c r="C1145" s="453"/>
      <c r="D1145" s="453"/>
      <c r="E1145" s="453"/>
      <c r="F1145" s="453"/>
      <c r="G1145" s="453"/>
      <c r="H1145" s="453"/>
      <c r="I1145" s="453"/>
      <c r="J1145" s="453"/>
      <c r="K1145" s="453"/>
      <c r="L1145" s="453"/>
    </row>
    <row r="1146" spans="1:12" ht="18" customHeight="1" x14ac:dyDescent="0.3">
      <c r="A1146" s="309" t="s">
        <v>16</v>
      </c>
      <c r="B1146" s="454">
        <f>VLOOKUP('전체 훈련생 평가 채점표'!$L$2,'기초데이타(작성필히)'!$A$5:$P$19,3)</f>
        <v>2021</v>
      </c>
      <c r="C1146" s="454" t="s">
        <v>17</v>
      </c>
      <c r="D1146" s="455" t="str">
        <f>VLOOKUP('전체 훈련생 평가 채점표'!$L$2,'기초데이타(작성필히)'!$A$5:$P$19,4)</f>
        <v>[디지털디자인]반응형 웹디자인(UIUX) &amp; 웹퍼블리셔 디지털 실무 양성과정 A-5</v>
      </c>
      <c r="E1146" s="455"/>
      <c r="F1146" s="455"/>
      <c r="G1146" s="454" t="s">
        <v>18</v>
      </c>
      <c r="H1146" s="359" t="str">
        <f>VLOOKUP('전체 훈련생 평가 채점표'!$L$2,'기초데이타(작성필히)'!$A$5:$P$19,5)</f>
        <v>21.08.31 ~ 22.02.07</v>
      </c>
      <c r="I1146" s="360"/>
      <c r="J1146" s="361"/>
      <c r="K1146" s="460" t="s">
        <v>78</v>
      </c>
      <c r="L1146" s="309" t="str">
        <f>VLOOKUP('전체 훈련생 평가 채점표'!$L$2,'기초데이타(작성필히)'!$A$5:$P$19,6)</f>
        <v>760H</v>
      </c>
    </row>
    <row r="1147" spans="1:12" ht="18" customHeight="1" x14ac:dyDescent="0.3">
      <c r="A1147" s="412"/>
      <c r="B1147" s="413"/>
      <c r="C1147" s="413"/>
      <c r="D1147" s="456"/>
      <c r="E1147" s="456"/>
      <c r="F1147" s="456"/>
      <c r="G1147" s="413"/>
      <c r="H1147" s="457"/>
      <c r="I1147" s="458"/>
      <c r="J1147" s="459"/>
      <c r="K1147" s="461"/>
      <c r="L1147" s="412"/>
    </row>
    <row r="1148" spans="1:12" ht="18" customHeight="1" x14ac:dyDescent="0.3">
      <c r="A1148" s="412" t="s">
        <v>23</v>
      </c>
      <c r="B1148" s="412"/>
      <c r="C1148" s="412" t="str">
        <f>LEFT(VLOOKUP('전체 훈련생 평가 채점표'!$L$2,'기초데이타(작성필히)'!$A$5:$P$19,9),17)</f>
        <v>[0803020911_18v3]</v>
      </c>
      <c r="D1148" s="412"/>
      <c r="E1148" s="412"/>
      <c r="F1148" s="412"/>
      <c r="G1148" s="413" t="s">
        <v>24</v>
      </c>
      <c r="H1148" s="412" t="str">
        <f>VLOOKUP('전체 훈련생 평가 채점표'!$L$2,'기초데이타(작성필히)'!$A$5:$P$19,12)</f>
        <v>이창훈</v>
      </c>
      <c r="I1148" s="412"/>
      <c r="J1148" s="412"/>
      <c r="K1148" s="414"/>
      <c r="L1148" s="415" t="s">
        <v>25</v>
      </c>
    </row>
    <row r="1149" spans="1:12" ht="18" customHeight="1" x14ac:dyDescent="0.3">
      <c r="A1149" s="412"/>
      <c r="B1149" s="412"/>
      <c r="C1149" s="412" t="str">
        <f>MID(VLOOKUP('전체 훈련생 평가 채점표'!$L$2,'기초데이타(작성필히)'!$A$5:$P$19,9),18,50)</f>
        <v xml:space="preserve">  스마트문화앱UX설계</v>
      </c>
      <c r="D1149" s="412"/>
      <c r="E1149" s="412"/>
      <c r="F1149" s="412"/>
      <c r="G1149" s="413"/>
      <c r="H1149" s="412"/>
      <c r="I1149" s="412"/>
      <c r="J1149" s="412"/>
      <c r="K1149" s="414"/>
      <c r="L1149" s="416"/>
    </row>
    <row r="1150" spans="1:12" ht="18" customHeight="1" x14ac:dyDescent="0.3">
      <c r="A1150" s="412" t="s">
        <v>79</v>
      </c>
      <c r="B1150" s="412"/>
      <c r="C1150" s="413" t="str">
        <f>'전체 훈련생 평가 채점표'!B35</f>
        <v/>
      </c>
      <c r="D1150" s="413" t="s">
        <v>21</v>
      </c>
      <c r="E1150" s="418" t="str">
        <f>VLOOKUP('전체 훈련생 평가 채점표'!$L$2,'기초데이타(작성필히)'!$A$5:$P$19,10)</f>
        <v>21.11.11~21.11.24</v>
      </c>
      <c r="F1150" s="419"/>
      <c r="G1150" s="420"/>
      <c r="H1150" s="60" t="s">
        <v>80</v>
      </c>
      <c r="I1150" s="119" t="s">
        <v>22</v>
      </c>
      <c r="J1150" s="424" t="s">
        <v>81</v>
      </c>
      <c r="K1150" s="425"/>
      <c r="L1150" s="426"/>
    </row>
    <row r="1151" spans="1:12" ht="18" customHeight="1" x14ac:dyDescent="0.3">
      <c r="A1151" s="319"/>
      <c r="B1151" s="319"/>
      <c r="C1151" s="417"/>
      <c r="D1151" s="417"/>
      <c r="E1151" s="421"/>
      <c r="F1151" s="422"/>
      <c r="G1151" s="423"/>
      <c r="H1151" s="120" t="s">
        <v>40</v>
      </c>
      <c r="I1151" s="120">
        <f>VLOOKUP('전체 훈련생 평가 채점표'!$L$2,'기초데이타(작성필히)'!$A$5:$P$19,11)</f>
        <v>70</v>
      </c>
      <c r="J1151" s="314" t="s">
        <v>40</v>
      </c>
      <c r="K1151" s="314"/>
      <c r="L1151" s="427"/>
    </row>
    <row r="1152" spans="1:12" ht="18" customHeight="1" x14ac:dyDescent="0.3"/>
    <row r="1153" spans="1:12" ht="18" customHeight="1" x14ac:dyDescent="0.3">
      <c r="A1153" s="428" t="s">
        <v>82</v>
      </c>
      <c r="B1153" s="429"/>
      <c r="C1153" s="429"/>
      <c r="D1153" s="431" t="s">
        <v>83</v>
      </c>
      <c r="E1153" s="431"/>
      <c r="F1153" s="431"/>
      <c r="G1153" s="433" t="s">
        <v>84</v>
      </c>
      <c r="H1153" s="434"/>
      <c r="I1153" s="434"/>
      <c r="J1153" s="434"/>
      <c r="K1153" s="434"/>
      <c r="L1153" s="435"/>
    </row>
    <row r="1154" spans="1:12" ht="18" customHeight="1" x14ac:dyDescent="0.3">
      <c r="A1154" s="430"/>
      <c r="B1154" s="430"/>
      <c r="C1154" s="430"/>
      <c r="D1154" s="432"/>
      <c r="E1154" s="432"/>
      <c r="F1154" s="432"/>
      <c r="G1154" s="436"/>
      <c r="H1154" s="437"/>
      <c r="I1154" s="437"/>
      <c r="J1154" s="437"/>
      <c r="K1154" s="437"/>
      <c r="L1154" s="438"/>
    </row>
    <row r="1155" spans="1:12" ht="18" customHeight="1" x14ac:dyDescent="0.3">
      <c r="A1155" s="383" t="str">
        <f>$C1150</f>
        <v/>
      </c>
      <c r="B1155" s="439"/>
      <c r="C1155" s="439"/>
      <c r="D1155" s="441" t="str">
        <f>$H1148</f>
        <v>이창훈</v>
      </c>
      <c r="E1155" s="443" t="s">
        <v>25</v>
      </c>
      <c r="F1155" s="444"/>
      <c r="G1155" s="382" t="s">
        <v>85</v>
      </c>
      <c r="H1155" s="447">
        <f>VLOOKUP('전체 훈련생 평가 채점표'!$L$2,'기초데이타(작성필히)'!$A$5:$P$19,13)</f>
        <v>44524</v>
      </c>
      <c r="I1155" s="448"/>
      <c r="J1155" s="448"/>
      <c r="K1155" s="449"/>
      <c r="L1155" s="391" t="s">
        <v>86</v>
      </c>
    </row>
    <row r="1156" spans="1:12" ht="18" customHeight="1" x14ac:dyDescent="0.3">
      <c r="A1156" s="440"/>
      <c r="B1156" s="440"/>
      <c r="C1156" s="440"/>
      <c r="D1156" s="442"/>
      <c r="E1156" s="445"/>
      <c r="F1156" s="446"/>
      <c r="G1156" s="384"/>
      <c r="H1156" s="450"/>
      <c r="I1156" s="451"/>
      <c r="J1156" s="451"/>
      <c r="K1156" s="452"/>
      <c r="L1156" s="392"/>
    </row>
    <row r="1157" spans="1:12" ht="18" customHeight="1" x14ac:dyDescent="0.3">
      <c r="A1157" s="380" t="s">
        <v>87</v>
      </c>
      <c r="B1157" s="380"/>
      <c r="C1157" s="380"/>
      <c r="D1157" s="382" t="str">
        <f>$C1148</f>
        <v>[0803020911_18v3]</v>
      </c>
      <c r="E1157" s="382"/>
      <c r="F1157" s="382"/>
      <c r="G1157" s="382" t="s">
        <v>88</v>
      </c>
      <c r="H1157" s="385"/>
      <c r="I1157" s="386"/>
      <c r="J1157" s="386"/>
      <c r="K1157" s="387"/>
      <c r="L1157" s="391" t="s">
        <v>86</v>
      </c>
    </row>
    <row r="1158" spans="1:12" ht="18" customHeight="1" x14ac:dyDescent="0.3">
      <c r="A1158" s="381"/>
      <c r="B1158" s="381"/>
      <c r="C1158" s="381"/>
      <c r="D1158" s="383"/>
      <c r="E1158" s="383"/>
      <c r="F1158" s="383"/>
      <c r="G1158" s="384"/>
      <c r="H1158" s="388"/>
      <c r="I1158" s="389"/>
      <c r="J1158" s="389"/>
      <c r="K1158" s="390"/>
      <c r="L1158" s="392"/>
    </row>
    <row r="1159" spans="1:12" ht="18" customHeight="1" x14ac:dyDescent="0.3">
      <c r="A1159" s="393" t="str">
        <f>VLOOKUP('전체 훈련생 평가 채점표'!$L$2,'기초데이타(작성필히)'!$A$5:$P$19,7)</f>
        <v>스타일가이드제작 및 시안디자인 제작2</v>
      </c>
      <c r="B1159" s="393"/>
      <c r="C1159" s="393"/>
      <c r="D1159" s="383" t="str">
        <f>$C1149</f>
        <v xml:space="preserve">  스마트문화앱UX설계</v>
      </c>
      <c r="E1159" s="383"/>
      <c r="F1159" s="383"/>
      <c r="G1159" s="382" t="s">
        <v>89</v>
      </c>
      <c r="H1159" s="385"/>
      <c r="I1159" s="386"/>
      <c r="J1159" s="386"/>
      <c r="K1159" s="387"/>
      <c r="L1159" s="391" t="s">
        <v>86</v>
      </c>
    </row>
    <row r="1160" spans="1:12" ht="18" customHeight="1" x14ac:dyDescent="0.3">
      <c r="A1160" s="394"/>
      <c r="B1160" s="394"/>
      <c r="C1160" s="394"/>
      <c r="D1160" s="384"/>
      <c r="E1160" s="384"/>
      <c r="F1160" s="384"/>
      <c r="G1160" s="384"/>
      <c r="H1160" s="388"/>
      <c r="I1160" s="389"/>
      <c r="J1160" s="389"/>
      <c r="K1160" s="390"/>
      <c r="L1160" s="392"/>
    </row>
    <row r="1161" spans="1:12" ht="18" customHeight="1" x14ac:dyDescent="0.3">
      <c r="A1161" s="395" t="s">
        <v>90</v>
      </c>
      <c r="B1161" s="396"/>
      <c r="C1161" s="396"/>
      <c r="D1161" s="396"/>
      <c r="E1161" s="396"/>
      <c r="F1161" s="397"/>
      <c r="G1161" s="398" t="s">
        <v>91</v>
      </c>
      <c r="H1161" s="399"/>
      <c r="I1161" s="399"/>
      <c r="J1161" s="399"/>
      <c r="K1161" s="399"/>
      <c r="L1161" s="400"/>
    </row>
    <row r="1162" spans="1:12" ht="18" customHeight="1" x14ac:dyDescent="0.3">
      <c r="A1162" s="395"/>
      <c r="B1162" s="396"/>
      <c r="C1162" s="396"/>
      <c r="D1162" s="396"/>
      <c r="E1162" s="396"/>
      <c r="F1162" s="397"/>
      <c r="G1162" s="401"/>
      <c r="H1162" s="402"/>
      <c r="I1162" s="402"/>
      <c r="J1162" s="402"/>
      <c r="K1162" s="402"/>
      <c r="L1162" s="403"/>
    </row>
    <row r="1163" spans="1:12" ht="18" customHeight="1" x14ac:dyDescent="0.3">
      <c r="A1163" s="341" t="s">
        <v>126</v>
      </c>
      <c r="B1163" s="342"/>
      <c r="C1163" s="342"/>
      <c r="D1163" s="342"/>
      <c r="E1163" s="342"/>
      <c r="F1163" s="343"/>
      <c r="G1163" s="404" t="s">
        <v>92</v>
      </c>
      <c r="H1163" s="406" t="s">
        <v>93</v>
      </c>
      <c r="I1163" s="407"/>
      <c r="J1163" s="407"/>
      <c r="K1163" s="407"/>
      <c r="L1163" s="408"/>
    </row>
    <row r="1164" spans="1:12" ht="18" customHeight="1" x14ac:dyDescent="0.3">
      <c r="A1164" s="341"/>
      <c r="B1164" s="342"/>
      <c r="C1164" s="342"/>
      <c r="D1164" s="342"/>
      <c r="E1164" s="342"/>
      <c r="F1164" s="343"/>
      <c r="G1164" s="405"/>
      <c r="H1164" s="409"/>
      <c r="I1164" s="410"/>
      <c r="J1164" s="410"/>
      <c r="K1164" s="410"/>
      <c r="L1164" s="411"/>
    </row>
    <row r="1165" spans="1:12" ht="18" customHeight="1" x14ac:dyDescent="0.3">
      <c r="A1165" s="341"/>
      <c r="B1165" s="342"/>
      <c r="C1165" s="342"/>
      <c r="D1165" s="342"/>
      <c r="E1165" s="342"/>
      <c r="F1165" s="343"/>
      <c r="G1165" s="323" t="str">
        <f>IF($J1183&gt;=90,"○","")</f>
        <v/>
      </c>
      <c r="H1165" s="326" t="s">
        <v>94</v>
      </c>
      <c r="I1165" s="327"/>
      <c r="J1165" s="327"/>
      <c r="K1165" s="327"/>
      <c r="L1165" s="328"/>
    </row>
    <row r="1166" spans="1:12" ht="18" customHeight="1" x14ac:dyDescent="0.3">
      <c r="A1166" s="341"/>
      <c r="B1166" s="342"/>
      <c r="C1166" s="342"/>
      <c r="D1166" s="342"/>
      <c r="E1166" s="342"/>
      <c r="F1166" s="343"/>
      <c r="G1166" s="324"/>
      <c r="H1166" s="329"/>
      <c r="I1166" s="330"/>
      <c r="J1166" s="330"/>
      <c r="K1166" s="330"/>
      <c r="L1166" s="331"/>
    </row>
    <row r="1167" spans="1:12" ht="18" customHeight="1" x14ac:dyDescent="0.3">
      <c r="A1167" s="341"/>
      <c r="B1167" s="342"/>
      <c r="C1167" s="342"/>
      <c r="D1167" s="342"/>
      <c r="E1167" s="342"/>
      <c r="F1167" s="343"/>
      <c r="G1167" s="325"/>
      <c r="H1167" s="332"/>
      <c r="I1167" s="333"/>
      <c r="J1167" s="333"/>
      <c r="K1167" s="333"/>
      <c r="L1167" s="334"/>
    </row>
    <row r="1168" spans="1:12" ht="18" customHeight="1" x14ac:dyDescent="0.3">
      <c r="A1168" s="341"/>
      <c r="B1168" s="342"/>
      <c r="C1168" s="342"/>
      <c r="D1168" s="342"/>
      <c r="E1168" s="342"/>
      <c r="F1168" s="343"/>
      <c r="G1168" s="323" t="str">
        <f>IF(AND($J1183&lt;=89.9,$J1183&gt;=80),"○","")</f>
        <v/>
      </c>
      <c r="H1168" s="326" t="s">
        <v>95</v>
      </c>
      <c r="I1168" s="327"/>
      <c r="J1168" s="327"/>
      <c r="K1168" s="327"/>
      <c r="L1168" s="328"/>
    </row>
    <row r="1169" spans="1:12" ht="18" customHeight="1" x14ac:dyDescent="0.3">
      <c r="A1169" s="341"/>
      <c r="B1169" s="342"/>
      <c r="C1169" s="342"/>
      <c r="D1169" s="342"/>
      <c r="E1169" s="342"/>
      <c r="F1169" s="343"/>
      <c r="G1169" s="324"/>
      <c r="H1169" s="329"/>
      <c r="I1169" s="330"/>
      <c r="J1169" s="330"/>
      <c r="K1169" s="330"/>
      <c r="L1169" s="331"/>
    </row>
    <row r="1170" spans="1:12" ht="18" customHeight="1" x14ac:dyDescent="0.3">
      <c r="A1170" s="341"/>
      <c r="B1170" s="342"/>
      <c r="C1170" s="342"/>
      <c r="D1170" s="342"/>
      <c r="E1170" s="342"/>
      <c r="F1170" s="343"/>
      <c r="G1170" s="325"/>
      <c r="H1170" s="332"/>
      <c r="I1170" s="333"/>
      <c r="J1170" s="333"/>
      <c r="K1170" s="333"/>
      <c r="L1170" s="334"/>
    </row>
    <row r="1171" spans="1:12" ht="18" customHeight="1" x14ac:dyDescent="0.3">
      <c r="A1171" s="341"/>
      <c r="B1171" s="342"/>
      <c r="C1171" s="342"/>
      <c r="D1171" s="342"/>
      <c r="E1171" s="342"/>
      <c r="F1171" s="343"/>
      <c r="G1171" s="323" t="str">
        <f>IF(AND($J1183&lt;=79.9,$J1183&gt;=70),"○","")</f>
        <v/>
      </c>
      <c r="H1171" s="326" t="s">
        <v>96</v>
      </c>
      <c r="I1171" s="327"/>
      <c r="J1171" s="327"/>
      <c r="K1171" s="327"/>
      <c r="L1171" s="328"/>
    </row>
    <row r="1172" spans="1:12" ht="18" customHeight="1" x14ac:dyDescent="0.3">
      <c r="A1172" s="341"/>
      <c r="B1172" s="342"/>
      <c r="C1172" s="342"/>
      <c r="D1172" s="342"/>
      <c r="E1172" s="342"/>
      <c r="F1172" s="343"/>
      <c r="G1172" s="324"/>
      <c r="H1172" s="329"/>
      <c r="I1172" s="330"/>
      <c r="J1172" s="330"/>
      <c r="K1172" s="330"/>
      <c r="L1172" s="331"/>
    </row>
    <row r="1173" spans="1:12" ht="18" customHeight="1" x14ac:dyDescent="0.3">
      <c r="A1173" s="344" t="str">
        <f>"- "&amp;'전체 훈련생 평가 채점표'!$G$8</f>
        <v>- 0</v>
      </c>
      <c r="B1173" s="345"/>
      <c r="C1173" s="345"/>
      <c r="D1173" s="345"/>
      <c r="E1173" s="345"/>
      <c r="F1173" s="346"/>
      <c r="G1173" s="325"/>
      <c r="H1173" s="332"/>
      <c r="I1173" s="333"/>
      <c r="J1173" s="333"/>
      <c r="K1173" s="333"/>
      <c r="L1173" s="334"/>
    </row>
    <row r="1174" spans="1:12" ht="18" customHeight="1" x14ac:dyDescent="0.3">
      <c r="A1174" s="344" t="str">
        <f>"- "&amp;'전체 훈련생 평가 채점표'!$F$8</f>
        <v>- 포트폴리오</v>
      </c>
      <c r="B1174" s="345"/>
      <c r="C1174" s="345"/>
      <c r="D1174" s="345"/>
      <c r="E1174" s="345"/>
      <c r="F1174" s="346"/>
      <c r="G1174" s="323" t="str">
        <f>IF(AND($J1183&lt;=69.9,$J1183&gt;=60),"○","")</f>
        <v/>
      </c>
      <c r="H1174" s="326" t="s">
        <v>97</v>
      </c>
      <c r="I1174" s="327"/>
      <c r="J1174" s="327"/>
      <c r="K1174" s="327"/>
      <c r="L1174" s="328"/>
    </row>
    <row r="1175" spans="1:12" ht="18" customHeight="1" x14ac:dyDescent="0.3">
      <c r="A1175" s="347"/>
      <c r="B1175" s="348"/>
      <c r="C1175" s="348"/>
      <c r="D1175" s="348"/>
      <c r="E1175" s="348"/>
      <c r="F1175" s="349"/>
      <c r="G1175" s="324"/>
      <c r="H1175" s="329"/>
      <c r="I1175" s="330"/>
      <c r="J1175" s="330"/>
      <c r="K1175" s="330"/>
      <c r="L1175" s="331"/>
    </row>
    <row r="1176" spans="1:12" ht="18" customHeight="1" x14ac:dyDescent="0.3">
      <c r="A1176" s="347"/>
      <c r="B1176" s="348"/>
      <c r="C1176" s="348"/>
      <c r="D1176" s="348"/>
      <c r="E1176" s="348"/>
      <c r="F1176" s="349"/>
      <c r="G1176" s="325"/>
      <c r="H1176" s="332"/>
      <c r="I1176" s="333"/>
      <c r="J1176" s="333"/>
      <c r="K1176" s="333"/>
      <c r="L1176" s="334"/>
    </row>
    <row r="1177" spans="1:12" ht="18" customHeight="1" x14ac:dyDescent="0.3">
      <c r="A1177" s="347"/>
      <c r="B1177" s="348"/>
      <c r="C1177" s="348"/>
      <c r="D1177" s="348"/>
      <c r="E1177" s="348"/>
      <c r="F1177" s="349"/>
      <c r="G1177" s="323" t="str">
        <f>IF($J1183&lt;=59.9,"○","")</f>
        <v>○</v>
      </c>
      <c r="H1177" s="326" t="s">
        <v>98</v>
      </c>
      <c r="I1177" s="327"/>
      <c r="J1177" s="327"/>
      <c r="K1177" s="327"/>
      <c r="L1177" s="328"/>
    </row>
    <row r="1178" spans="1:12" ht="18" customHeight="1" x14ac:dyDescent="0.3">
      <c r="A1178" s="347"/>
      <c r="B1178" s="348"/>
      <c r="C1178" s="348"/>
      <c r="D1178" s="348"/>
      <c r="E1178" s="348"/>
      <c r="F1178" s="349"/>
      <c r="G1178" s="324"/>
      <c r="H1178" s="329"/>
      <c r="I1178" s="330"/>
      <c r="J1178" s="330"/>
      <c r="K1178" s="330"/>
      <c r="L1178" s="331"/>
    </row>
    <row r="1179" spans="1:12" ht="18" customHeight="1" x14ac:dyDescent="0.3">
      <c r="A1179" s="347"/>
      <c r="B1179" s="348"/>
      <c r="C1179" s="348"/>
      <c r="D1179" s="348"/>
      <c r="E1179" s="348"/>
      <c r="F1179" s="349"/>
      <c r="G1179" s="325"/>
      <c r="H1179" s="332"/>
      <c r="I1179" s="333"/>
      <c r="J1179" s="333"/>
      <c r="K1179" s="333"/>
      <c r="L1179" s="334"/>
    </row>
    <row r="1180" spans="1:12" ht="18" customHeight="1" x14ac:dyDescent="0.3">
      <c r="A1180" s="347"/>
      <c r="B1180" s="348"/>
      <c r="C1180" s="348"/>
      <c r="D1180" s="348"/>
      <c r="E1180" s="348"/>
      <c r="F1180" s="349"/>
      <c r="G1180" s="335" t="s">
        <v>99</v>
      </c>
      <c r="H1180" s="336"/>
      <c r="I1180" s="336"/>
      <c r="J1180" s="336"/>
      <c r="K1180" s="336"/>
      <c r="L1180" s="337"/>
    </row>
    <row r="1181" spans="1:12" ht="18" customHeight="1" x14ac:dyDescent="0.3">
      <c r="A1181" s="350"/>
      <c r="B1181" s="351"/>
      <c r="C1181" s="351"/>
      <c r="D1181" s="351"/>
      <c r="E1181" s="351"/>
      <c r="F1181" s="352"/>
      <c r="G1181" s="338"/>
      <c r="H1181" s="339"/>
      <c r="I1181" s="339"/>
      <c r="J1181" s="339"/>
      <c r="K1181" s="339"/>
      <c r="L1181" s="340"/>
    </row>
    <row r="1182" spans="1:12" ht="18" customHeight="1" x14ac:dyDescent="0.3">
      <c r="A1182" s="353">
        <f>A1138</f>
        <v>0</v>
      </c>
      <c r="B1182" s="354"/>
      <c r="C1182" s="355"/>
      <c r="D1182" s="356"/>
      <c r="E1182" s="357"/>
      <c r="F1182" s="357"/>
      <c r="G1182" s="357"/>
      <c r="H1182" s="357"/>
      <c r="I1182" s="358"/>
      <c r="J1182" s="359" t="s">
        <v>125</v>
      </c>
      <c r="K1182" s="360"/>
      <c r="L1182" s="361"/>
    </row>
    <row r="1183" spans="1:12" ht="18" customHeight="1" x14ac:dyDescent="0.3">
      <c r="A1183" s="362" t="str">
        <f>A1139</f>
        <v>포트폴리오</v>
      </c>
      <c r="B1183" s="363"/>
      <c r="C1183" s="364"/>
      <c r="D1183" s="365" t="str">
        <f>'전체 훈련생 평가 채점표'!F35</f>
        <v/>
      </c>
      <c r="E1183" s="366"/>
      <c r="F1183" s="366"/>
      <c r="G1183" s="366"/>
      <c r="H1183" s="366"/>
      <c r="I1183" s="367"/>
      <c r="J1183" s="368">
        <f>IFERROR((D1182+D1183+D1184),0)</f>
        <v>0</v>
      </c>
      <c r="K1183" s="369"/>
      <c r="L1183" s="370"/>
    </row>
    <row r="1184" spans="1:12" ht="18" customHeight="1" x14ac:dyDescent="0.3">
      <c r="A1184" s="374">
        <f>A1140</f>
        <v>0</v>
      </c>
      <c r="B1184" s="375"/>
      <c r="C1184" s="376"/>
      <c r="D1184" s="377" t="str">
        <f>'전체 훈련생 평가 채점표'!G35</f>
        <v/>
      </c>
      <c r="E1184" s="378"/>
      <c r="F1184" s="378"/>
      <c r="G1184" s="378"/>
      <c r="H1184" s="378"/>
      <c r="I1184" s="379"/>
      <c r="J1184" s="371"/>
      <c r="K1184" s="372"/>
      <c r="L1184" s="373"/>
    </row>
    <row r="1185" spans="1:12" ht="18" customHeight="1" x14ac:dyDescent="0.3">
      <c r="A1185" s="303" t="s">
        <v>11</v>
      </c>
      <c r="B1185" s="304"/>
      <c r="C1185" s="304"/>
      <c r="D1185" s="304"/>
      <c r="E1185" s="304"/>
      <c r="F1185" s="304"/>
      <c r="G1185" s="304"/>
      <c r="H1185" s="304"/>
      <c r="I1185" s="304"/>
      <c r="J1185" s="304"/>
      <c r="K1185" s="304"/>
      <c r="L1185" s="305"/>
    </row>
    <row r="1186" spans="1:12" ht="18" customHeight="1" x14ac:dyDescent="0.3">
      <c r="A1186" s="306" t="s">
        <v>100</v>
      </c>
      <c r="B1186" s="307"/>
      <c r="C1186" s="307"/>
      <c r="D1186" s="307"/>
      <c r="E1186" s="307"/>
      <c r="F1186" s="307"/>
      <c r="G1186" s="307"/>
      <c r="H1186" s="307"/>
      <c r="I1186" s="307"/>
      <c r="J1186" s="307"/>
      <c r="K1186" s="307"/>
      <c r="L1186" s="308"/>
    </row>
    <row r="1187" spans="1:12" ht="18" customHeight="1" x14ac:dyDescent="0.3">
      <c r="A1187" s="309" t="s">
        <v>92</v>
      </c>
      <c r="B1187" s="309"/>
      <c r="C1187" s="309"/>
      <c r="D1187" s="310" t="s">
        <v>101</v>
      </c>
      <c r="E1187" s="311"/>
      <c r="F1187" s="310" t="s">
        <v>102</v>
      </c>
      <c r="G1187" s="312"/>
      <c r="H1187" s="311"/>
      <c r="I1187" s="313">
        <f>$J1183</f>
        <v>0</v>
      </c>
      <c r="J1187" s="313"/>
      <c r="K1187" s="315" t="s">
        <v>103</v>
      </c>
      <c r="L1187" s="316"/>
    </row>
    <row r="1188" spans="1:12" ht="18" customHeight="1" x14ac:dyDescent="0.3">
      <c r="A1188" s="319" t="s">
        <v>104</v>
      </c>
      <c r="B1188" s="319"/>
      <c r="C1188" s="319"/>
      <c r="D1188" s="320" t="s">
        <v>105</v>
      </c>
      <c r="E1188" s="321"/>
      <c r="F1188" s="320" t="s">
        <v>106</v>
      </c>
      <c r="G1188" s="322"/>
      <c r="H1188" s="321"/>
      <c r="I1188" s="314"/>
      <c r="J1188" s="314"/>
      <c r="K1188" s="317"/>
      <c r="L1188" s="318"/>
    </row>
    <row r="1189" spans="1:12" ht="18" customHeight="1" x14ac:dyDescent="0.3">
      <c r="A1189" s="453" t="str">
        <f>MID(VLOOKUP('전체 훈련생 평가 채점표'!$L$2,'기초데이타(작성필히)'!$A$5:$P$19,9),18,50)&amp;" 수행평가"</f>
        <v xml:space="preserve">  스마트문화앱UX설계 수행평가</v>
      </c>
      <c r="B1189" s="453"/>
      <c r="C1189" s="453"/>
      <c r="D1189" s="453"/>
      <c r="E1189" s="453"/>
      <c r="F1189" s="453"/>
      <c r="G1189" s="453"/>
      <c r="H1189" s="453"/>
      <c r="I1189" s="453"/>
      <c r="J1189" s="453"/>
      <c r="K1189" s="453"/>
      <c r="L1189" s="453"/>
    </row>
    <row r="1190" spans="1:12" ht="18" customHeight="1" x14ac:dyDescent="0.3">
      <c r="A1190" s="309" t="s">
        <v>16</v>
      </c>
      <c r="B1190" s="454">
        <f>VLOOKUP('전체 훈련생 평가 채점표'!$L$2,'기초데이타(작성필히)'!$A$5:$P$19,3)</f>
        <v>2021</v>
      </c>
      <c r="C1190" s="454" t="s">
        <v>17</v>
      </c>
      <c r="D1190" s="455" t="str">
        <f>VLOOKUP('전체 훈련생 평가 채점표'!$L$2,'기초데이타(작성필히)'!$A$5:$P$19,4)</f>
        <v>[디지털디자인]반응형 웹디자인(UIUX) &amp; 웹퍼블리셔 디지털 실무 양성과정 A-5</v>
      </c>
      <c r="E1190" s="455"/>
      <c r="F1190" s="455"/>
      <c r="G1190" s="454" t="s">
        <v>18</v>
      </c>
      <c r="H1190" s="359" t="str">
        <f>VLOOKUP('전체 훈련생 평가 채점표'!$L$2,'기초데이타(작성필히)'!$A$5:$P$19,5)</f>
        <v>21.08.31 ~ 22.02.07</v>
      </c>
      <c r="I1190" s="360"/>
      <c r="J1190" s="361"/>
      <c r="K1190" s="460" t="s">
        <v>78</v>
      </c>
      <c r="L1190" s="309" t="str">
        <f>VLOOKUP('전체 훈련생 평가 채점표'!$L$2,'기초데이타(작성필히)'!$A$5:$P$19,6)</f>
        <v>760H</v>
      </c>
    </row>
    <row r="1191" spans="1:12" ht="18" customHeight="1" x14ac:dyDescent="0.3">
      <c r="A1191" s="412"/>
      <c r="B1191" s="413"/>
      <c r="C1191" s="413"/>
      <c r="D1191" s="456"/>
      <c r="E1191" s="456"/>
      <c r="F1191" s="456"/>
      <c r="G1191" s="413"/>
      <c r="H1191" s="457"/>
      <c r="I1191" s="458"/>
      <c r="J1191" s="459"/>
      <c r="K1191" s="461"/>
      <c r="L1191" s="412"/>
    </row>
    <row r="1192" spans="1:12" ht="18" customHeight="1" x14ac:dyDescent="0.3">
      <c r="A1192" s="412" t="s">
        <v>23</v>
      </c>
      <c r="B1192" s="412"/>
      <c r="C1192" s="412" t="str">
        <f>LEFT(VLOOKUP('전체 훈련생 평가 채점표'!$L$2,'기초데이타(작성필히)'!$A$5:$P$19,9),17)</f>
        <v>[0803020911_18v3]</v>
      </c>
      <c r="D1192" s="412"/>
      <c r="E1192" s="412"/>
      <c r="F1192" s="412"/>
      <c r="G1192" s="413" t="s">
        <v>24</v>
      </c>
      <c r="H1192" s="412" t="str">
        <f>VLOOKUP('전체 훈련생 평가 채점표'!$L$2,'기초데이타(작성필히)'!$A$5:$P$19,12)</f>
        <v>이창훈</v>
      </c>
      <c r="I1192" s="412"/>
      <c r="J1192" s="412"/>
      <c r="K1192" s="414"/>
      <c r="L1192" s="415" t="s">
        <v>25</v>
      </c>
    </row>
    <row r="1193" spans="1:12" ht="18" customHeight="1" x14ac:dyDescent="0.3">
      <c r="A1193" s="412"/>
      <c r="B1193" s="412"/>
      <c r="C1193" s="412" t="str">
        <f>MID(VLOOKUP('전체 훈련생 평가 채점표'!$L$2,'기초데이타(작성필히)'!$A$5:$P$19,9),18,50)</f>
        <v xml:space="preserve">  스마트문화앱UX설계</v>
      </c>
      <c r="D1193" s="412"/>
      <c r="E1193" s="412"/>
      <c r="F1193" s="412"/>
      <c r="G1193" s="413"/>
      <c r="H1193" s="412"/>
      <c r="I1193" s="412"/>
      <c r="J1193" s="412"/>
      <c r="K1193" s="414"/>
      <c r="L1193" s="416"/>
    </row>
    <row r="1194" spans="1:12" ht="18" customHeight="1" x14ac:dyDescent="0.3">
      <c r="A1194" s="412" t="s">
        <v>79</v>
      </c>
      <c r="B1194" s="412"/>
      <c r="C1194" s="413" t="str">
        <f>'전체 훈련생 평가 채점표'!B36</f>
        <v/>
      </c>
      <c r="D1194" s="413" t="s">
        <v>21</v>
      </c>
      <c r="E1194" s="418" t="str">
        <f>VLOOKUP('전체 훈련생 평가 채점표'!$L$2,'기초데이타(작성필히)'!$A$5:$P$19,10)</f>
        <v>21.11.11~21.11.24</v>
      </c>
      <c r="F1194" s="419"/>
      <c r="G1194" s="420"/>
      <c r="H1194" s="60" t="s">
        <v>80</v>
      </c>
      <c r="I1194" s="119" t="s">
        <v>22</v>
      </c>
      <c r="J1194" s="424" t="s">
        <v>81</v>
      </c>
      <c r="K1194" s="425"/>
      <c r="L1194" s="426"/>
    </row>
    <row r="1195" spans="1:12" ht="18" customHeight="1" x14ac:dyDescent="0.3">
      <c r="A1195" s="319"/>
      <c r="B1195" s="319"/>
      <c r="C1195" s="417"/>
      <c r="D1195" s="417"/>
      <c r="E1195" s="421"/>
      <c r="F1195" s="422"/>
      <c r="G1195" s="423"/>
      <c r="H1195" s="120" t="s">
        <v>40</v>
      </c>
      <c r="I1195" s="120">
        <f>VLOOKUP('전체 훈련생 평가 채점표'!$L$2,'기초데이타(작성필히)'!$A$5:$P$19,11)</f>
        <v>70</v>
      </c>
      <c r="J1195" s="314" t="s">
        <v>40</v>
      </c>
      <c r="K1195" s="314"/>
      <c r="L1195" s="427"/>
    </row>
    <row r="1196" spans="1:12" ht="18" customHeight="1" x14ac:dyDescent="0.3"/>
    <row r="1197" spans="1:12" ht="18" customHeight="1" x14ac:dyDescent="0.3">
      <c r="A1197" s="428" t="s">
        <v>82</v>
      </c>
      <c r="B1197" s="429"/>
      <c r="C1197" s="429"/>
      <c r="D1197" s="431" t="s">
        <v>83</v>
      </c>
      <c r="E1197" s="431"/>
      <c r="F1197" s="431"/>
      <c r="G1197" s="433" t="s">
        <v>84</v>
      </c>
      <c r="H1197" s="434"/>
      <c r="I1197" s="434"/>
      <c r="J1197" s="434"/>
      <c r="K1197" s="434"/>
      <c r="L1197" s="435"/>
    </row>
    <row r="1198" spans="1:12" ht="18" customHeight="1" x14ac:dyDescent="0.3">
      <c r="A1198" s="430"/>
      <c r="B1198" s="430"/>
      <c r="C1198" s="430"/>
      <c r="D1198" s="432"/>
      <c r="E1198" s="432"/>
      <c r="F1198" s="432"/>
      <c r="G1198" s="436"/>
      <c r="H1198" s="437"/>
      <c r="I1198" s="437"/>
      <c r="J1198" s="437"/>
      <c r="K1198" s="437"/>
      <c r="L1198" s="438"/>
    </row>
    <row r="1199" spans="1:12" ht="18" customHeight="1" x14ac:dyDescent="0.3">
      <c r="A1199" s="383" t="str">
        <f>$C1194</f>
        <v/>
      </c>
      <c r="B1199" s="439"/>
      <c r="C1199" s="439"/>
      <c r="D1199" s="441" t="str">
        <f>$H1192</f>
        <v>이창훈</v>
      </c>
      <c r="E1199" s="443" t="s">
        <v>25</v>
      </c>
      <c r="F1199" s="444"/>
      <c r="G1199" s="382" t="s">
        <v>85</v>
      </c>
      <c r="H1199" s="447">
        <f>VLOOKUP('전체 훈련생 평가 채점표'!$L$2,'기초데이타(작성필히)'!$A$5:$P$19,13)</f>
        <v>44524</v>
      </c>
      <c r="I1199" s="448"/>
      <c r="J1199" s="448"/>
      <c r="K1199" s="449"/>
      <c r="L1199" s="391" t="s">
        <v>86</v>
      </c>
    </row>
    <row r="1200" spans="1:12" ht="18" customHeight="1" x14ac:dyDescent="0.3">
      <c r="A1200" s="440"/>
      <c r="B1200" s="440"/>
      <c r="C1200" s="440"/>
      <c r="D1200" s="442"/>
      <c r="E1200" s="445"/>
      <c r="F1200" s="446"/>
      <c r="G1200" s="384"/>
      <c r="H1200" s="450"/>
      <c r="I1200" s="451"/>
      <c r="J1200" s="451"/>
      <c r="K1200" s="452"/>
      <c r="L1200" s="392"/>
    </row>
    <row r="1201" spans="1:12" ht="18" customHeight="1" x14ac:dyDescent="0.3">
      <c r="A1201" s="380" t="s">
        <v>87</v>
      </c>
      <c r="B1201" s="380"/>
      <c r="C1201" s="380"/>
      <c r="D1201" s="382" t="str">
        <f>$C1192</f>
        <v>[0803020911_18v3]</v>
      </c>
      <c r="E1201" s="382"/>
      <c r="F1201" s="382"/>
      <c r="G1201" s="382" t="s">
        <v>88</v>
      </c>
      <c r="H1201" s="385"/>
      <c r="I1201" s="386"/>
      <c r="J1201" s="386"/>
      <c r="K1201" s="387"/>
      <c r="L1201" s="391" t="s">
        <v>86</v>
      </c>
    </row>
    <row r="1202" spans="1:12" ht="18" customHeight="1" x14ac:dyDescent="0.3">
      <c r="A1202" s="381"/>
      <c r="B1202" s="381"/>
      <c r="C1202" s="381"/>
      <c r="D1202" s="383"/>
      <c r="E1202" s="383"/>
      <c r="F1202" s="383"/>
      <c r="G1202" s="384"/>
      <c r="H1202" s="388"/>
      <c r="I1202" s="389"/>
      <c r="J1202" s="389"/>
      <c r="K1202" s="390"/>
      <c r="L1202" s="392"/>
    </row>
    <row r="1203" spans="1:12" ht="18" customHeight="1" x14ac:dyDescent="0.3">
      <c r="A1203" s="393" t="str">
        <f>VLOOKUP('전체 훈련생 평가 채점표'!$L$2,'기초데이타(작성필히)'!$A$5:$P$19,7)</f>
        <v>스타일가이드제작 및 시안디자인 제작2</v>
      </c>
      <c r="B1203" s="393"/>
      <c r="C1203" s="393"/>
      <c r="D1203" s="383" t="str">
        <f>$C1193</f>
        <v xml:space="preserve">  스마트문화앱UX설계</v>
      </c>
      <c r="E1203" s="383"/>
      <c r="F1203" s="383"/>
      <c r="G1203" s="382" t="s">
        <v>89</v>
      </c>
      <c r="H1203" s="385"/>
      <c r="I1203" s="386"/>
      <c r="J1203" s="386"/>
      <c r="K1203" s="387"/>
      <c r="L1203" s="391" t="s">
        <v>86</v>
      </c>
    </row>
    <row r="1204" spans="1:12" ht="18" customHeight="1" x14ac:dyDescent="0.3">
      <c r="A1204" s="394"/>
      <c r="B1204" s="394"/>
      <c r="C1204" s="394"/>
      <c r="D1204" s="384"/>
      <c r="E1204" s="384"/>
      <c r="F1204" s="384"/>
      <c r="G1204" s="384"/>
      <c r="H1204" s="388"/>
      <c r="I1204" s="389"/>
      <c r="J1204" s="389"/>
      <c r="K1204" s="390"/>
      <c r="L1204" s="392"/>
    </row>
    <row r="1205" spans="1:12" ht="18" customHeight="1" x14ac:dyDescent="0.3">
      <c r="A1205" s="395" t="s">
        <v>90</v>
      </c>
      <c r="B1205" s="396"/>
      <c r="C1205" s="396"/>
      <c r="D1205" s="396"/>
      <c r="E1205" s="396"/>
      <c r="F1205" s="397"/>
      <c r="G1205" s="398" t="s">
        <v>91</v>
      </c>
      <c r="H1205" s="399"/>
      <c r="I1205" s="399"/>
      <c r="J1205" s="399"/>
      <c r="K1205" s="399"/>
      <c r="L1205" s="400"/>
    </row>
    <row r="1206" spans="1:12" ht="18" customHeight="1" x14ac:dyDescent="0.3">
      <c r="A1206" s="395"/>
      <c r="B1206" s="396"/>
      <c r="C1206" s="396"/>
      <c r="D1206" s="396"/>
      <c r="E1206" s="396"/>
      <c r="F1206" s="397"/>
      <c r="G1206" s="401"/>
      <c r="H1206" s="402"/>
      <c r="I1206" s="402"/>
      <c r="J1206" s="402"/>
      <c r="K1206" s="402"/>
      <c r="L1206" s="403"/>
    </row>
    <row r="1207" spans="1:12" ht="18" customHeight="1" x14ac:dyDescent="0.3">
      <c r="A1207" s="341" t="s">
        <v>126</v>
      </c>
      <c r="B1207" s="342"/>
      <c r="C1207" s="342"/>
      <c r="D1207" s="342"/>
      <c r="E1207" s="342"/>
      <c r="F1207" s="343"/>
      <c r="G1207" s="404" t="s">
        <v>92</v>
      </c>
      <c r="H1207" s="406" t="s">
        <v>93</v>
      </c>
      <c r="I1207" s="407"/>
      <c r="J1207" s="407"/>
      <c r="K1207" s="407"/>
      <c r="L1207" s="408"/>
    </row>
    <row r="1208" spans="1:12" ht="18" customHeight="1" x14ac:dyDescent="0.3">
      <c r="A1208" s="341"/>
      <c r="B1208" s="342"/>
      <c r="C1208" s="342"/>
      <c r="D1208" s="342"/>
      <c r="E1208" s="342"/>
      <c r="F1208" s="343"/>
      <c r="G1208" s="405"/>
      <c r="H1208" s="409"/>
      <c r="I1208" s="410"/>
      <c r="J1208" s="410"/>
      <c r="K1208" s="410"/>
      <c r="L1208" s="411"/>
    </row>
    <row r="1209" spans="1:12" ht="18" customHeight="1" x14ac:dyDescent="0.3">
      <c r="A1209" s="341"/>
      <c r="B1209" s="342"/>
      <c r="C1209" s="342"/>
      <c r="D1209" s="342"/>
      <c r="E1209" s="342"/>
      <c r="F1209" s="343"/>
      <c r="G1209" s="323" t="str">
        <f>IF($J1227&gt;=90,"○","")</f>
        <v/>
      </c>
      <c r="H1209" s="326" t="s">
        <v>94</v>
      </c>
      <c r="I1209" s="327"/>
      <c r="J1209" s="327"/>
      <c r="K1209" s="327"/>
      <c r="L1209" s="328"/>
    </row>
    <row r="1210" spans="1:12" ht="18" customHeight="1" x14ac:dyDescent="0.3">
      <c r="A1210" s="341"/>
      <c r="B1210" s="342"/>
      <c r="C1210" s="342"/>
      <c r="D1210" s="342"/>
      <c r="E1210" s="342"/>
      <c r="F1210" s="343"/>
      <c r="G1210" s="324"/>
      <c r="H1210" s="329"/>
      <c r="I1210" s="330"/>
      <c r="J1210" s="330"/>
      <c r="K1210" s="330"/>
      <c r="L1210" s="331"/>
    </row>
    <row r="1211" spans="1:12" ht="18" customHeight="1" x14ac:dyDescent="0.3">
      <c r="A1211" s="341"/>
      <c r="B1211" s="342"/>
      <c r="C1211" s="342"/>
      <c r="D1211" s="342"/>
      <c r="E1211" s="342"/>
      <c r="F1211" s="343"/>
      <c r="G1211" s="325"/>
      <c r="H1211" s="332"/>
      <c r="I1211" s="333"/>
      <c r="J1211" s="333"/>
      <c r="K1211" s="333"/>
      <c r="L1211" s="334"/>
    </row>
    <row r="1212" spans="1:12" ht="18" customHeight="1" x14ac:dyDescent="0.3">
      <c r="A1212" s="341"/>
      <c r="B1212" s="342"/>
      <c r="C1212" s="342"/>
      <c r="D1212" s="342"/>
      <c r="E1212" s="342"/>
      <c r="F1212" s="343"/>
      <c r="G1212" s="323" t="str">
        <f>IF(AND($J1227&lt;=89.9,$J1227&gt;=80),"○","")</f>
        <v/>
      </c>
      <c r="H1212" s="326" t="s">
        <v>95</v>
      </c>
      <c r="I1212" s="327"/>
      <c r="J1212" s="327"/>
      <c r="K1212" s="327"/>
      <c r="L1212" s="328"/>
    </row>
    <row r="1213" spans="1:12" ht="18" customHeight="1" x14ac:dyDescent="0.3">
      <c r="A1213" s="341"/>
      <c r="B1213" s="342"/>
      <c r="C1213" s="342"/>
      <c r="D1213" s="342"/>
      <c r="E1213" s="342"/>
      <c r="F1213" s="343"/>
      <c r="G1213" s="324"/>
      <c r="H1213" s="329"/>
      <c r="I1213" s="330"/>
      <c r="J1213" s="330"/>
      <c r="K1213" s="330"/>
      <c r="L1213" s="331"/>
    </row>
    <row r="1214" spans="1:12" ht="18" customHeight="1" x14ac:dyDescent="0.3">
      <c r="A1214" s="341"/>
      <c r="B1214" s="342"/>
      <c r="C1214" s="342"/>
      <c r="D1214" s="342"/>
      <c r="E1214" s="342"/>
      <c r="F1214" s="343"/>
      <c r="G1214" s="325"/>
      <c r="H1214" s="332"/>
      <c r="I1214" s="333"/>
      <c r="J1214" s="333"/>
      <c r="K1214" s="333"/>
      <c r="L1214" s="334"/>
    </row>
    <row r="1215" spans="1:12" ht="18" customHeight="1" x14ac:dyDescent="0.3">
      <c r="A1215" s="341"/>
      <c r="B1215" s="342"/>
      <c r="C1215" s="342"/>
      <c r="D1215" s="342"/>
      <c r="E1215" s="342"/>
      <c r="F1215" s="343"/>
      <c r="G1215" s="323" t="str">
        <f>IF(AND($J1227&lt;=79.9,$J1227&gt;=70),"○","")</f>
        <v/>
      </c>
      <c r="H1215" s="326" t="s">
        <v>96</v>
      </c>
      <c r="I1215" s="327"/>
      <c r="J1215" s="327"/>
      <c r="K1215" s="327"/>
      <c r="L1215" s="328"/>
    </row>
    <row r="1216" spans="1:12" ht="18" customHeight="1" x14ac:dyDescent="0.3">
      <c r="A1216" s="341"/>
      <c r="B1216" s="342"/>
      <c r="C1216" s="342"/>
      <c r="D1216" s="342"/>
      <c r="E1216" s="342"/>
      <c r="F1216" s="343"/>
      <c r="G1216" s="324"/>
      <c r="H1216" s="329"/>
      <c r="I1216" s="330"/>
      <c r="J1216" s="330"/>
      <c r="K1216" s="330"/>
      <c r="L1216" s="331"/>
    </row>
    <row r="1217" spans="1:12" ht="18" customHeight="1" x14ac:dyDescent="0.3">
      <c r="A1217" s="344" t="str">
        <f>"- "&amp;'전체 훈련생 평가 채점표'!$G$8</f>
        <v>- 0</v>
      </c>
      <c r="B1217" s="345"/>
      <c r="C1217" s="345"/>
      <c r="D1217" s="345"/>
      <c r="E1217" s="345"/>
      <c r="F1217" s="346"/>
      <c r="G1217" s="325"/>
      <c r="H1217" s="332"/>
      <c r="I1217" s="333"/>
      <c r="J1217" s="333"/>
      <c r="K1217" s="333"/>
      <c r="L1217" s="334"/>
    </row>
    <row r="1218" spans="1:12" ht="18" customHeight="1" x14ac:dyDescent="0.3">
      <c r="A1218" s="344" t="str">
        <f>"- "&amp;'전체 훈련생 평가 채점표'!$F$8</f>
        <v>- 포트폴리오</v>
      </c>
      <c r="B1218" s="345"/>
      <c r="C1218" s="345"/>
      <c r="D1218" s="345"/>
      <c r="E1218" s="345"/>
      <c r="F1218" s="346"/>
      <c r="G1218" s="323" t="str">
        <f>IF(AND($J1227&lt;=69.9,$J1227&gt;=60),"○","")</f>
        <v/>
      </c>
      <c r="H1218" s="326" t="s">
        <v>97</v>
      </c>
      <c r="I1218" s="327"/>
      <c r="J1218" s="327"/>
      <c r="K1218" s="327"/>
      <c r="L1218" s="328"/>
    </row>
    <row r="1219" spans="1:12" ht="18" customHeight="1" x14ac:dyDescent="0.3">
      <c r="A1219" s="347"/>
      <c r="B1219" s="348"/>
      <c r="C1219" s="348"/>
      <c r="D1219" s="348"/>
      <c r="E1219" s="348"/>
      <c r="F1219" s="349"/>
      <c r="G1219" s="324"/>
      <c r="H1219" s="329"/>
      <c r="I1219" s="330"/>
      <c r="J1219" s="330"/>
      <c r="K1219" s="330"/>
      <c r="L1219" s="331"/>
    </row>
    <row r="1220" spans="1:12" ht="18" customHeight="1" x14ac:dyDescent="0.3">
      <c r="A1220" s="347"/>
      <c r="B1220" s="348"/>
      <c r="C1220" s="348"/>
      <c r="D1220" s="348"/>
      <c r="E1220" s="348"/>
      <c r="F1220" s="349"/>
      <c r="G1220" s="325"/>
      <c r="H1220" s="332"/>
      <c r="I1220" s="333"/>
      <c r="J1220" s="333"/>
      <c r="K1220" s="333"/>
      <c r="L1220" s="334"/>
    </row>
    <row r="1221" spans="1:12" ht="18" customHeight="1" x14ac:dyDescent="0.3">
      <c r="A1221" s="347"/>
      <c r="B1221" s="348"/>
      <c r="C1221" s="348"/>
      <c r="D1221" s="348"/>
      <c r="E1221" s="348"/>
      <c r="F1221" s="349"/>
      <c r="G1221" s="323" t="str">
        <f>IF($J1227&lt;=59.9,"○","")</f>
        <v>○</v>
      </c>
      <c r="H1221" s="326" t="s">
        <v>98</v>
      </c>
      <c r="I1221" s="327"/>
      <c r="J1221" s="327"/>
      <c r="K1221" s="327"/>
      <c r="L1221" s="328"/>
    </row>
    <row r="1222" spans="1:12" ht="18" customHeight="1" x14ac:dyDescent="0.3">
      <c r="A1222" s="347"/>
      <c r="B1222" s="348"/>
      <c r="C1222" s="348"/>
      <c r="D1222" s="348"/>
      <c r="E1222" s="348"/>
      <c r="F1222" s="349"/>
      <c r="G1222" s="324"/>
      <c r="H1222" s="329"/>
      <c r="I1222" s="330"/>
      <c r="J1222" s="330"/>
      <c r="K1222" s="330"/>
      <c r="L1222" s="331"/>
    </row>
    <row r="1223" spans="1:12" ht="18" customHeight="1" x14ac:dyDescent="0.3">
      <c r="A1223" s="347"/>
      <c r="B1223" s="348"/>
      <c r="C1223" s="348"/>
      <c r="D1223" s="348"/>
      <c r="E1223" s="348"/>
      <c r="F1223" s="349"/>
      <c r="G1223" s="325"/>
      <c r="H1223" s="332"/>
      <c r="I1223" s="333"/>
      <c r="J1223" s="333"/>
      <c r="K1223" s="333"/>
      <c r="L1223" s="334"/>
    </row>
    <row r="1224" spans="1:12" ht="18" customHeight="1" x14ac:dyDescent="0.3">
      <c r="A1224" s="347"/>
      <c r="B1224" s="348"/>
      <c r="C1224" s="348"/>
      <c r="D1224" s="348"/>
      <c r="E1224" s="348"/>
      <c r="F1224" s="349"/>
      <c r="G1224" s="335" t="s">
        <v>99</v>
      </c>
      <c r="H1224" s="336"/>
      <c r="I1224" s="336"/>
      <c r="J1224" s="336"/>
      <c r="K1224" s="336"/>
      <c r="L1224" s="337"/>
    </row>
    <row r="1225" spans="1:12" ht="18" customHeight="1" x14ac:dyDescent="0.3">
      <c r="A1225" s="350"/>
      <c r="B1225" s="351"/>
      <c r="C1225" s="351"/>
      <c r="D1225" s="351"/>
      <c r="E1225" s="351"/>
      <c r="F1225" s="352"/>
      <c r="G1225" s="338"/>
      <c r="H1225" s="339"/>
      <c r="I1225" s="339"/>
      <c r="J1225" s="339"/>
      <c r="K1225" s="339"/>
      <c r="L1225" s="340"/>
    </row>
    <row r="1226" spans="1:12" ht="18" customHeight="1" x14ac:dyDescent="0.3">
      <c r="A1226" s="353">
        <f>A1182</f>
        <v>0</v>
      </c>
      <c r="B1226" s="354"/>
      <c r="C1226" s="355"/>
      <c r="D1226" s="356"/>
      <c r="E1226" s="357"/>
      <c r="F1226" s="357"/>
      <c r="G1226" s="357"/>
      <c r="H1226" s="357"/>
      <c r="I1226" s="358"/>
      <c r="J1226" s="359" t="s">
        <v>125</v>
      </c>
      <c r="K1226" s="360"/>
      <c r="L1226" s="361"/>
    </row>
    <row r="1227" spans="1:12" ht="18" customHeight="1" x14ac:dyDescent="0.3">
      <c r="A1227" s="362" t="str">
        <f>A1183</f>
        <v>포트폴리오</v>
      </c>
      <c r="B1227" s="363"/>
      <c r="C1227" s="364"/>
      <c r="D1227" s="365" t="str">
        <f>'전체 훈련생 평가 채점표'!F36</f>
        <v/>
      </c>
      <c r="E1227" s="366"/>
      <c r="F1227" s="366"/>
      <c r="G1227" s="366"/>
      <c r="H1227" s="366"/>
      <c r="I1227" s="367"/>
      <c r="J1227" s="368">
        <f>IFERROR((D1226+D1227+D1228),0)</f>
        <v>0</v>
      </c>
      <c r="K1227" s="369"/>
      <c r="L1227" s="370"/>
    </row>
    <row r="1228" spans="1:12" ht="18" customHeight="1" x14ac:dyDescent="0.3">
      <c r="A1228" s="374">
        <f>A1184</f>
        <v>0</v>
      </c>
      <c r="B1228" s="375"/>
      <c r="C1228" s="376"/>
      <c r="D1228" s="377" t="str">
        <f>'전체 훈련생 평가 채점표'!G36</f>
        <v/>
      </c>
      <c r="E1228" s="378"/>
      <c r="F1228" s="378"/>
      <c r="G1228" s="378"/>
      <c r="H1228" s="378"/>
      <c r="I1228" s="379"/>
      <c r="J1228" s="371"/>
      <c r="K1228" s="372"/>
      <c r="L1228" s="373"/>
    </row>
    <row r="1229" spans="1:12" ht="18" customHeight="1" x14ac:dyDescent="0.3">
      <c r="A1229" s="303" t="s">
        <v>11</v>
      </c>
      <c r="B1229" s="304"/>
      <c r="C1229" s="304"/>
      <c r="D1229" s="304"/>
      <c r="E1229" s="304"/>
      <c r="F1229" s="304"/>
      <c r="G1229" s="304"/>
      <c r="H1229" s="304"/>
      <c r="I1229" s="304"/>
      <c r="J1229" s="304"/>
      <c r="K1229" s="304"/>
      <c r="L1229" s="305"/>
    </row>
    <row r="1230" spans="1:12" ht="18" customHeight="1" x14ac:dyDescent="0.3">
      <c r="A1230" s="306" t="s">
        <v>100</v>
      </c>
      <c r="B1230" s="307"/>
      <c r="C1230" s="307"/>
      <c r="D1230" s="307"/>
      <c r="E1230" s="307"/>
      <c r="F1230" s="307"/>
      <c r="G1230" s="307"/>
      <c r="H1230" s="307"/>
      <c r="I1230" s="307"/>
      <c r="J1230" s="307"/>
      <c r="K1230" s="307"/>
      <c r="L1230" s="308"/>
    </row>
    <row r="1231" spans="1:12" ht="18" customHeight="1" x14ac:dyDescent="0.3">
      <c r="A1231" s="309" t="s">
        <v>92</v>
      </c>
      <c r="B1231" s="309"/>
      <c r="C1231" s="309"/>
      <c r="D1231" s="310" t="s">
        <v>101</v>
      </c>
      <c r="E1231" s="311"/>
      <c r="F1231" s="310" t="s">
        <v>102</v>
      </c>
      <c r="G1231" s="312"/>
      <c r="H1231" s="311"/>
      <c r="I1231" s="313">
        <f>$J1227</f>
        <v>0</v>
      </c>
      <c r="J1231" s="313"/>
      <c r="K1231" s="315" t="s">
        <v>103</v>
      </c>
      <c r="L1231" s="316"/>
    </row>
    <row r="1232" spans="1:12" ht="18" customHeight="1" x14ac:dyDescent="0.3">
      <c r="A1232" s="319" t="s">
        <v>104</v>
      </c>
      <c r="B1232" s="319"/>
      <c r="C1232" s="319"/>
      <c r="D1232" s="320" t="s">
        <v>105</v>
      </c>
      <c r="E1232" s="321"/>
      <c r="F1232" s="320" t="s">
        <v>106</v>
      </c>
      <c r="G1232" s="322"/>
      <c r="H1232" s="321"/>
      <c r="I1232" s="314"/>
      <c r="J1232" s="314"/>
      <c r="K1232" s="317"/>
      <c r="L1232" s="318"/>
    </row>
    <row r="1233" spans="1:12" ht="18" customHeight="1" x14ac:dyDescent="0.3">
      <c r="A1233" s="453" t="str">
        <f>MID(VLOOKUP('전체 훈련생 평가 채점표'!$L$2,'기초데이타(작성필히)'!$A$5:$P$19,9),18,50)&amp;" 수행평가"</f>
        <v xml:space="preserve">  스마트문화앱UX설계 수행평가</v>
      </c>
      <c r="B1233" s="453"/>
      <c r="C1233" s="453"/>
      <c r="D1233" s="453"/>
      <c r="E1233" s="453"/>
      <c r="F1233" s="453"/>
      <c r="G1233" s="453"/>
      <c r="H1233" s="453"/>
      <c r="I1233" s="453"/>
      <c r="J1233" s="453"/>
      <c r="K1233" s="453"/>
      <c r="L1233" s="453"/>
    </row>
    <row r="1234" spans="1:12" ht="18" customHeight="1" x14ac:dyDescent="0.3">
      <c r="A1234" s="309" t="s">
        <v>16</v>
      </c>
      <c r="B1234" s="454">
        <f>VLOOKUP('전체 훈련생 평가 채점표'!$L$2,'기초데이타(작성필히)'!$A$5:$P$19,3)</f>
        <v>2021</v>
      </c>
      <c r="C1234" s="454" t="s">
        <v>17</v>
      </c>
      <c r="D1234" s="455" t="str">
        <f>VLOOKUP('전체 훈련생 평가 채점표'!$L$2,'기초데이타(작성필히)'!$A$5:$P$19,4)</f>
        <v>[디지털디자인]반응형 웹디자인(UIUX) &amp; 웹퍼블리셔 디지털 실무 양성과정 A-5</v>
      </c>
      <c r="E1234" s="455"/>
      <c r="F1234" s="455"/>
      <c r="G1234" s="454" t="s">
        <v>18</v>
      </c>
      <c r="H1234" s="359" t="str">
        <f>VLOOKUP('전체 훈련생 평가 채점표'!$L$2,'기초데이타(작성필히)'!$A$5:$P$19,5)</f>
        <v>21.08.31 ~ 22.02.07</v>
      </c>
      <c r="I1234" s="360"/>
      <c r="J1234" s="361"/>
      <c r="K1234" s="460" t="s">
        <v>78</v>
      </c>
      <c r="L1234" s="309" t="str">
        <f>VLOOKUP('전체 훈련생 평가 채점표'!$L$2,'기초데이타(작성필히)'!$A$5:$P$19,6)</f>
        <v>760H</v>
      </c>
    </row>
    <row r="1235" spans="1:12" ht="18" customHeight="1" x14ac:dyDescent="0.3">
      <c r="A1235" s="412"/>
      <c r="B1235" s="413"/>
      <c r="C1235" s="413"/>
      <c r="D1235" s="456"/>
      <c r="E1235" s="456"/>
      <c r="F1235" s="456"/>
      <c r="G1235" s="413"/>
      <c r="H1235" s="457"/>
      <c r="I1235" s="458"/>
      <c r="J1235" s="459"/>
      <c r="K1235" s="461"/>
      <c r="L1235" s="412"/>
    </row>
    <row r="1236" spans="1:12" ht="18" customHeight="1" x14ac:dyDescent="0.3">
      <c r="A1236" s="412" t="s">
        <v>23</v>
      </c>
      <c r="B1236" s="412"/>
      <c r="C1236" s="412" t="str">
        <f>LEFT(VLOOKUP('전체 훈련생 평가 채점표'!$L$2,'기초데이타(작성필히)'!$A$5:$P$19,9),17)</f>
        <v>[0803020911_18v3]</v>
      </c>
      <c r="D1236" s="412"/>
      <c r="E1236" s="412"/>
      <c r="F1236" s="412"/>
      <c r="G1236" s="413" t="s">
        <v>24</v>
      </c>
      <c r="H1236" s="412" t="str">
        <f>VLOOKUP('전체 훈련생 평가 채점표'!$L$2,'기초데이타(작성필히)'!$A$5:$P$19,12)</f>
        <v>이창훈</v>
      </c>
      <c r="I1236" s="412"/>
      <c r="J1236" s="412"/>
      <c r="K1236" s="414"/>
      <c r="L1236" s="415" t="s">
        <v>25</v>
      </c>
    </row>
    <row r="1237" spans="1:12" ht="18" customHeight="1" x14ac:dyDescent="0.3">
      <c r="A1237" s="412"/>
      <c r="B1237" s="412"/>
      <c r="C1237" s="412" t="str">
        <f>MID(VLOOKUP('전체 훈련생 평가 채점표'!$L$2,'기초데이타(작성필히)'!$A$5:$P$19,9),18,50)</f>
        <v xml:space="preserve">  스마트문화앱UX설계</v>
      </c>
      <c r="D1237" s="412"/>
      <c r="E1237" s="412"/>
      <c r="F1237" s="412"/>
      <c r="G1237" s="413"/>
      <c r="H1237" s="412"/>
      <c r="I1237" s="412"/>
      <c r="J1237" s="412"/>
      <c r="K1237" s="414"/>
      <c r="L1237" s="416"/>
    </row>
    <row r="1238" spans="1:12" ht="18" customHeight="1" x14ac:dyDescent="0.3">
      <c r="A1238" s="412" t="s">
        <v>79</v>
      </c>
      <c r="B1238" s="412"/>
      <c r="C1238" s="413" t="str">
        <f>'전체 훈련생 평가 채점표'!B37</f>
        <v/>
      </c>
      <c r="D1238" s="413" t="s">
        <v>21</v>
      </c>
      <c r="E1238" s="418" t="str">
        <f>VLOOKUP('전체 훈련생 평가 채점표'!$L$2,'기초데이타(작성필히)'!$A$5:$P$19,10)</f>
        <v>21.11.11~21.11.24</v>
      </c>
      <c r="F1238" s="419"/>
      <c r="G1238" s="420"/>
      <c r="H1238" s="60" t="s">
        <v>80</v>
      </c>
      <c r="I1238" s="119" t="s">
        <v>22</v>
      </c>
      <c r="J1238" s="424" t="s">
        <v>81</v>
      </c>
      <c r="K1238" s="425"/>
      <c r="L1238" s="426"/>
    </row>
    <row r="1239" spans="1:12" ht="18" customHeight="1" x14ac:dyDescent="0.3">
      <c r="A1239" s="319"/>
      <c r="B1239" s="319"/>
      <c r="C1239" s="417"/>
      <c r="D1239" s="417"/>
      <c r="E1239" s="421"/>
      <c r="F1239" s="422"/>
      <c r="G1239" s="423"/>
      <c r="H1239" s="120" t="s">
        <v>40</v>
      </c>
      <c r="I1239" s="120">
        <f>VLOOKUP('전체 훈련생 평가 채점표'!$L$2,'기초데이타(작성필히)'!$A$5:$P$19,11)</f>
        <v>70</v>
      </c>
      <c r="J1239" s="314" t="s">
        <v>40</v>
      </c>
      <c r="K1239" s="314"/>
      <c r="L1239" s="427"/>
    </row>
    <row r="1240" spans="1:12" ht="18" customHeight="1" x14ac:dyDescent="0.3"/>
    <row r="1241" spans="1:12" ht="18" customHeight="1" x14ac:dyDescent="0.3">
      <c r="A1241" s="428" t="s">
        <v>82</v>
      </c>
      <c r="B1241" s="429"/>
      <c r="C1241" s="429"/>
      <c r="D1241" s="431" t="s">
        <v>83</v>
      </c>
      <c r="E1241" s="431"/>
      <c r="F1241" s="431"/>
      <c r="G1241" s="433" t="s">
        <v>84</v>
      </c>
      <c r="H1241" s="434"/>
      <c r="I1241" s="434"/>
      <c r="J1241" s="434"/>
      <c r="K1241" s="434"/>
      <c r="L1241" s="435"/>
    </row>
    <row r="1242" spans="1:12" ht="18" customHeight="1" x14ac:dyDescent="0.3">
      <c r="A1242" s="430"/>
      <c r="B1242" s="430"/>
      <c r="C1242" s="430"/>
      <c r="D1242" s="432"/>
      <c r="E1242" s="432"/>
      <c r="F1242" s="432"/>
      <c r="G1242" s="436"/>
      <c r="H1242" s="437"/>
      <c r="I1242" s="437"/>
      <c r="J1242" s="437"/>
      <c r="K1242" s="437"/>
      <c r="L1242" s="438"/>
    </row>
    <row r="1243" spans="1:12" ht="18" customHeight="1" x14ac:dyDescent="0.3">
      <c r="A1243" s="383" t="str">
        <f>$C1238</f>
        <v/>
      </c>
      <c r="B1243" s="439"/>
      <c r="C1243" s="439"/>
      <c r="D1243" s="441" t="str">
        <f>$H1236</f>
        <v>이창훈</v>
      </c>
      <c r="E1243" s="443" t="s">
        <v>25</v>
      </c>
      <c r="F1243" s="444"/>
      <c r="G1243" s="382" t="s">
        <v>85</v>
      </c>
      <c r="H1243" s="447">
        <f>VLOOKUP('전체 훈련생 평가 채점표'!$L$2,'기초데이타(작성필히)'!$A$5:$P$19,13)</f>
        <v>44524</v>
      </c>
      <c r="I1243" s="448"/>
      <c r="J1243" s="448"/>
      <c r="K1243" s="449"/>
      <c r="L1243" s="391" t="s">
        <v>86</v>
      </c>
    </row>
    <row r="1244" spans="1:12" ht="18" customHeight="1" x14ac:dyDescent="0.3">
      <c r="A1244" s="440"/>
      <c r="B1244" s="440"/>
      <c r="C1244" s="440"/>
      <c r="D1244" s="442"/>
      <c r="E1244" s="445"/>
      <c r="F1244" s="446"/>
      <c r="G1244" s="384"/>
      <c r="H1244" s="450"/>
      <c r="I1244" s="451"/>
      <c r="J1244" s="451"/>
      <c r="K1244" s="452"/>
      <c r="L1244" s="392"/>
    </row>
    <row r="1245" spans="1:12" ht="18" customHeight="1" x14ac:dyDescent="0.3">
      <c r="A1245" s="380" t="s">
        <v>87</v>
      </c>
      <c r="B1245" s="380"/>
      <c r="C1245" s="380"/>
      <c r="D1245" s="382" t="str">
        <f>$C1236</f>
        <v>[0803020911_18v3]</v>
      </c>
      <c r="E1245" s="382"/>
      <c r="F1245" s="382"/>
      <c r="G1245" s="382" t="s">
        <v>88</v>
      </c>
      <c r="H1245" s="385"/>
      <c r="I1245" s="386"/>
      <c r="J1245" s="386"/>
      <c r="K1245" s="387"/>
      <c r="L1245" s="391" t="s">
        <v>86</v>
      </c>
    </row>
    <row r="1246" spans="1:12" ht="18" customHeight="1" x14ac:dyDescent="0.3">
      <c r="A1246" s="381"/>
      <c r="B1246" s="381"/>
      <c r="C1246" s="381"/>
      <c r="D1246" s="383"/>
      <c r="E1246" s="383"/>
      <c r="F1246" s="383"/>
      <c r="G1246" s="384"/>
      <c r="H1246" s="388"/>
      <c r="I1246" s="389"/>
      <c r="J1246" s="389"/>
      <c r="K1246" s="390"/>
      <c r="L1246" s="392"/>
    </row>
    <row r="1247" spans="1:12" ht="18" customHeight="1" x14ac:dyDescent="0.3">
      <c r="A1247" s="393" t="str">
        <f>VLOOKUP('전체 훈련생 평가 채점표'!$L$2,'기초데이타(작성필히)'!$A$5:$P$19,7)</f>
        <v>스타일가이드제작 및 시안디자인 제작2</v>
      </c>
      <c r="B1247" s="393"/>
      <c r="C1247" s="393"/>
      <c r="D1247" s="383" t="str">
        <f>$C1237</f>
        <v xml:space="preserve">  스마트문화앱UX설계</v>
      </c>
      <c r="E1247" s="383"/>
      <c r="F1247" s="383"/>
      <c r="G1247" s="382" t="s">
        <v>89</v>
      </c>
      <c r="H1247" s="385"/>
      <c r="I1247" s="386"/>
      <c r="J1247" s="386"/>
      <c r="K1247" s="387"/>
      <c r="L1247" s="391" t="s">
        <v>86</v>
      </c>
    </row>
    <row r="1248" spans="1:12" ht="18" customHeight="1" x14ac:dyDescent="0.3">
      <c r="A1248" s="394"/>
      <c r="B1248" s="394"/>
      <c r="C1248" s="394"/>
      <c r="D1248" s="384"/>
      <c r="E1248" s="384"/>
      <c r="F1248" s="384"/>
      <c r="G1248" s="384"/>
      <c r="H1248" s="388"/>
      <c r="I1248" s="389"/>
      <c r="J1248" s="389"/>
      <c r="K1248" s="390"/>
      <c r="L1248" s="392"/>
    </row>
    <row r="1249" spans="1:12" ht="18" customHeight="1" x14ac:dyDescent="0.3">
      <c r="A1249" s="395" t="s">
        <v>90</v>
      </c>
      <c r="B1249" s="396"/>
      <c r="C1249" s="396"/>
      <c r="D1249" s="396"/>
      <c r="E1249" s="396"/>
      <c r="F1249" s="397"/>
      <c r="G1249" s="398" t="s">
        <v>91</v>
      </c>
      <c r="H1249" s="399"/>
      <c r="I1249" s="399"/>
      <c r="J1249" s="399"/>
      <c r="K1249" s="399"/>
      <c r="L1249" s="400"/>
    </row>
    <row r="1250" spans="1:12" ht="18" customHeight="1" x14ac:dyDescent="0.3">
      <c r="A1250" s="395"/>
      <c r="B1250" s="396"/>
      <c r="C1250" s="396"/>
      <c r="D1250" s="396"/>
      <c r="E1250" s="396"/>
      <c r="F1250" s="397"/>
      <c r="G1250" s="401"/>
      <c r="H1250" s="402"/>
      <c r="I1250" s="402"/>
      <c r="J1250" s="402"/>
      <c r="K1250" s="402"/>
      <c r="L1250" s="403"/>
    </row>
    <row r="1251" spans="1:12" ht="18" customHeight="1" x14ac:dyDescent="0.3">
      <c r="A1251" s="341" t="s">
        <v>126</v>
      </c>
      <c r="B1251" s="342"/>
      <c r="C1251" s="342"/>
      <c r="D1251" s="342"/>
      <c r="E1251" s="342"/>
      <c r="F1251" s="343"/>
      <c r="G1251" s="404" t="s">
        <v>92</v>
      </c>
      <c r="H1251" s="406" t="s">
        <v>93</v>
      </c>
      <c r="I1251" s="407"/>
      <c r="J1251" s="407"/>
      <c r="K1251" s="407"/>
      <c r="L1251" s="408"/>
    </row>
    <row r="1252" spans="1:12" ht="18" customHeight="1" x14ac:dyDescent="0.3">
      <c r="A1252" s="341"/>
      <c r="B1252" s="342"/>
      <c r="C1252" s="342"/>
      <c r="D1252" s="342"/>
      <c r="E1252" s="342"/>
      <c r="F1252" s="343"/>
      <c r="G1252" s="405"/>
      <c r="H1252" s="409"/>
      <c r="I1252" s="410"/>
      <c r="J1252" s="410"/>
      <c r="K1252" s="410"/>
      <c r="L1252" s="411"/>
    </row>
    <row r="1253" spans="1:12" ht="18" customHeight="1" x14ac:dyDescent="0.3">
      <c r="A1253" s="341"/>
      <c r="B1253" s="342"/>
      <c r="C1253" s="342"/>
      <c r="D1253" s="342"/>
      <c r="E1253" s="342"/>
      <c r="F1253" s="343"/>
      <c r="G1253" s="323" t="str">
        <f>IF($J1271&gt;=90,"○","")</f>
        <v/>
      </c>
      <c r="H1253" s="326" t="s">
        <v>94</v>
      </c>
      <c r="I1253" s="327"/>
      <c r="J1253" s="327"/>
      <c r="K1253" s="327"/>
      <c r="L1253" s="328"/>
    </row>
    <row r="1254" spans="1:12" ht="18" customHeight="1" x14ac:dyDescent="0.3">
      <c r="A1254" s="341"/>
      <c r="B1254" s="342"/>
      <c r="C1254" s="342"/>
      <c r="D1254" s="342"/>
      <c r="E1254" s="342"/>
      <c r="F1254" s="343"/>
      <c r="G1254" s="324"/>
      <c r="H1254" s="329"/>
      <c r="I1254" s="330"/>
      <c r="J1254" s="330"/>
      <c r="K1254" s="330"/>
      <c r="L1254" s="331"/>
    </row>
    <row r="1255" spans="1:12" ht="18" customHeight="1" x14ac:dyDescent="0.3">
      <c r="A1255" s="341"/>
      <c r="B1255" s="342"/>
      <c r="C1255" s="342"/>
      <c r="D1255" s="342"/>
      <c r="E1255" s="342"/>
      <c r="F1255" s="343"/>
      <c r="G1255" s="325"/>
      <c r="H1255" s="332"/>
      <c r="I1255" s="333"/>
      <c r="J1255" s="333"/>
      <c r="K1255" s="333"/>
      <c r="L1255" s="334"/>
    </row>
    <row r="1256" spans="1:12" ht="18" customHeight="1" x14ac:dyDescent="0.3">
      <c r="A1256" s="341"/>
      <c r="B1256" s="342"/>
      <c r="C1256" s="342"/>
      <c r="D1256" s="342"/>
      <c r="E1256" s="342"/>
      <c r="F1256" s="343"/>
      <c r="G1256" s="323" t="str">
        <f>IF(AND($J1271&lt;=89.9,$J1271&gt;=80),"○","")</f>
        <v/>
      </c>
      <c r="H1256" s="326" t="s">
        <v>95</v>
      </c>
      <c r="I1256" s="327"/>
      <c r="J1256" s="327"/>
      <c r="K1256" s="327"/>
      <c r="L1256" s="328"/>
    </row>
    <row r="1257" spans="1:12" ht="18" customHeight="1" x14ac:dyDescent="0.3">
      <c r="A1257" s="341"/>
      <c r="B1257" s="342"/>
      <c r="C1257" s="342"/>
      <c r="D1257" s="342"/>
      <c r="E1257" s="342"/>
      <c r="F1257" s="343"/>
      <c r="G1257" s="324"/>
      <c r="H1257" s="329"/>
      <c r="I1257" s="330"/>
      <c r="J1257" s="330"/>
      <c r="K1257" s="330"/>
      <c r="L1257" s="331"/>
    </row>
    <row r="1258" spans="1:12" ht="18" customHeight="1" x14ac:dyDescent="0.3">
      <c r="A1258" s="341"/>
      <c r="B1258" s="342"/>
      <c r="C1258" s="342"/>
      <c r="D1258" s="342"/>
      <c r="E1258" s="342"/>
      <c r="F1258" s="343"/>
      <c r="G1258" s="325"/>
      <c r="H1258" s="332"/>
      <c r="I1258" s="333"/>
      <c r="J1258" s="333"/>
      <c r="K1258" s="333"/>
      <c r="L1258" s="334"/>
    </row>
    <row r="1259" spans="1:12" ht="18" customHeight="1" x14ac:dyDescent="0.3">
      <c r="A1259" s="341"/>
      <c r="B1259" s="342"/>
      <c r="C1259" s="342"/>
      <c r="D1259" s="342"/>
      <c r="E1259" s="342"/>
      <c r="F1259" s="343"/>
      <c r="G1259" s="323" t="str">
        <f>IF(AND($J1271&lt;=79.9,$J1271&gt;=70),"○","")</f>
        <v/>
      </c>
      <c r="H1259" s="326" t="s">
        <v>96</v>
      </c>
      <c r="I1259" s="327"/>
      <c r="J1259" s="327"/>
      <c r="K1259" s="327"/>
      <c r="L1259" s="328"/>
    </row>
    <row r="1260" spans="1:12" ht="18" customHeight="1" x14ac:dyDescent="0.3">
      <c r="A1260" s="341"/>
      <c r="B1260" s="342"/>
      <c r="C1260" s="342"/>
      <c r="D1260" s="342"/>
      <c r="E1260" s="342"/>
      <c r="F1260" s="343"/>
      <c r="G1260" s="324"/>
      <c r="H1260" s="329"/>
      <c r="I1260" s="330"/>
      <c r="J1260" s="330"/>
      <c r="K1260" s="330"/>
      <c r="L1260" s="331"/>
    </row>
    <row r="1261" spans="1:12" ht="18" customHeight="1" x14ac:dyDescent="0.3">
      <c r="A1261" s="344" t="str">
        <f>"- "&amp;'전체 훈련생 평가 채점표'!$G$8</f>
        <v>- 0</v>
      </c>
      <c r="B1261" s="345"/>
      <c r="C1261" s="345"/>
      <c r="D1261" s="345"/>
      <c r="E1261" s="345"/>
      <c r="F1261" s="346"/>
      <c r="G1261" s="325"/>
      <c r="H1261" s="332"/>
      <c r="I1261" s="333"/>
      <c r="J1261" s="333"/>
      <c r="K1261" s="333"/>
      <c r="L1261" s="334"/>
    </row>
    <row r="1262" spans="1:12" ht="18" customHeight="1" x14ac:dyDescent="0.3">
      <c r="A1262" s="344" t="str">
        <f>"- "&amp;'전체 훈련생 평가 채점표'!$F$8</f>
        <v>- 포트폴리오</v>
      </c>
      <c r="B1262" s="345"/>
      <c r="C1262" s="345"/>
      <c r="D1262" s="345"/>
      <c r="E1262" s="345"/>
      <c r="F1262" s="346"/>
      <c r="G1262" s="323" t="str">
        <f>IF(AND($J1271&lt;=69.9,$J1271&gt;=60),"○","")</f>
        <v/>
      </c>
      <c r="H1262" s="326" t="s">
        <v>97</v>
      </c>
      <c r="I1262" s="327"/>
      <c r="J1262" s="327"/>
      <c r="K1262" s="327"/>
      <c r="L1262" s="328"/>
    </row>
    <row r="1263" spans="1:12" ht="18" customHeight="1" x14ac:dyDescent="0.3">
      <c r="A1263" s="347"/>
      <c r="B1263" s="348"/>
      <c r="C1263" s="348"/>
      <c r="D1263" s="348"/>
      <c r="E1263" s="348"/>
      <c r="F1263" s="349"/>
      <c r="G1263" s="324"/>
      <c r="H1263" s="329"/>
      <c r="I1263" s="330"/>
      <c r="J1263" s="330"/>
      <c r="K1263" s="330"/>
      <c r="L1263" s="331"/>
    </row>
    <row r="1264" spans="1:12" ht="18" customHeight="1" x14ac:dyDescent="0.3">
      <c r="A1264" s="347"/>
      <c r="B1264" s="348"/>
      <c r="C1264" s="348"/>
      <c r="D1264" s="348"/>
      <c r="E1264" s="348"/>
      <c r="F1264" s="349"/>
      <c r="G1264" s="325"/>
      <c r="H1264" s="332"/>
      <c r="I1264" s="333"/>
      <c r="J1264" s="333"/>
      <c r="K1264" s="333"/>
      <c r="L1264" s="334"/>
    </row>
    <row r="1265" spans="1:12" ht="18" customHeight="1" x14ac:dyDescent="0.3">
      <c r="A1265" s="347"/>
      <c r="B1265" s="348"/>
      <c r="C1265" s="348"/>
      <c r="D1265" s="348"/>
      <c r="E1265" s="348"/>
      <c r="F1265" s="349"/>
      <c r="G1265" s="323" t="str">
        <f>IF($J1271&lt;=59.9,"○","")</f>
        <v>○</v>
      </c>
      <c r="H1265" s="326" t="s">
        <v>98</v>
      </c>
      <c r="I1265" s="327"/>
      <c r="J1265" s="327"/>
      <c r="K1265" s="327"/>
      <c r="L1265" s="328"/>
    </row>
    <row r="1266" spans="1:12" ht="18" customHeight="1" x14ac:dyDescent="0.3">
      <c r="A1266" s="347"/>
      <c r="B1266" s="348"/>
      <c r="C1266" s="348"/>
      <c r="D1266" s="348"/>
      <c r="E1266" s="348"/>
      <c r="F1266" s="349"/>
      <c r="G1266" s="324"/>
      <c r="H1266" s="329"/>
      <c r="I1266" s="330"/>
      <c r="J1266" s="330"/>
      <c r="K1266" s="330"/>
      <c r="L1266" s="331"/>
    </row>
    <row r="1267" spans="1:12" ht="18" customHeight="1" x14ac:dyDescent="0.3">
      <c r="A1267" s="347"/>
      <c r="B1267" s="348"/>
      <c r="C1267" s="348"/>
      <c r="D1267" s="348"/>
      <c r="E1267" s="348"/>
      <c r="F1267" s="349"/>
      <c r="G1267" s="325"/>
      <c r="H1267" s="332"/>
      <c r="I1267" s="333"/>
      <c r="J1267" s="333"/>
      <c r="K1267" s="333"/>
      <c r="L1267" s="334"/>
    </row>
    <row r="1268" spans="1:12" ht="18" customHeight="1" x14ac:dyDescent="0.3">
      <c r="A1268" s="347"/>
      <c r="B1268" s="348"/>
      <c r="C1268" s="348"/>
      <c r="D1268" s="348"/>
      <c r="E1268" s="348"/>
      <c r="F1268" s="349"/>
      <c r="G1268" s="335" t="s">
        <v>99</v>
      </c>
      <c r="H1268" s="336"/>
      <c r="I1268" s="336"/>
      <c r="J1268" s="336"/>
      <c r="K1268" s="336"/>
      <c r="L1268" s="337"/>
    </row>
    <row r="1269" spans="1:12" ht="18" customHeight="1" x14ac:dyDescent="0.3">
      <c r="A1269" s="350"/>
      <c r="B1269" s="351"/>
      <c r="C1269" s="351"/>
      <c r="D1269" s="351"/>
      <c r="E1269" s="351"/>
      <c r="F1269" s="352"/>
      <c r="G1269" s="338"/>
      <c r="H1269" s="339"/>
      <c r="I1269" s="339"/>
      <c r="J1269" s="339"/>
      <c r="K1269" s="339"/>
      <c r="L1269" s="340"/>
    </row>
    <row r="1270" spans="1:12" ht="18" customHeight="1" x14ac:dyDescent="0.3">
      <c r="A1270" s="353">
        <f>A1226</f>
        <v>0</v>
      </c>
      <c r="B1270" s="354"/>
      <c r="C1270" s="355"/>
      <c r="D1270" s="356"/>
      <c r="E1270" s="357"/>
      <c r="F1270" s="357"/>
      <c r="G1270" s="357"/>
      <c r="H1270" s="357"/>
      <c r="I1270" s="358"/>
      <c r="J1270" s="359" t="s">
        <v>125</v>
      </c>
      <c r="K1270" s="360"/>
      <c r="L1270" s="361"/>
    </row>
    <row r="1271" spans="1:12" ht="18" customHeight="1" x14ac:dyDescent="0.3">
      <c r="A1271" s="362" t="str">
        <f>A1227</f>
        <v>포트폴리오</v>
      </c>
      <c r="B1271" s="363"/>
      <c r="C1271" s="364"/>
      <c r="D1271" s="365" t="str">
        <f>'전체 훈련생 평가 채점표'!F37</f>
        <v/>
      </c>
      <c r="E1271" s="366"/>
      <c r="F1271" s="366"/>
      <c r="G1271" s="366"/>
      <c r="H1271" s="366"/>
      <c r="I1271" s="367"/>
      <c r="J1271" s="368">
        <f>IFERROR((D1270+D1271+D1272),0)</f>
        <v>0</v>
      </c>
      <c r="K1271" s="369"/>
      <c r="L1271" s="370"/>
    </row>
    <row r="1272" spans="1:12" ht="18" customHeight="1" x14ac:dyDescent="0.3">
      <c r="A1272" s="374">
        <f>A1228</f>
        <v>0</v>
      </c>
      <c r="B1272" s="375"/>
      <c r="C1272" s="376"/>
      <c r="D1272" s="377" t="str">
        <f>'전체 훈련생 평가 채점표'!G37</f>
        <v/>
      </c>
      <c r="E1272" s="378"/>
      <c r="F1272" s="378"/>
      <c r="G1272" s="378"/>
      <c r="H1272" s="378"/>
      <c r="I1272" s="379"/>
      <c r="J1272" s="371"/>
      <c r="K1272" s="372"/>
      <c r="L1272" s="373"/>
    </row>
    <row r="1273" spans="1:12" ht="18" customHeight="1" x14ac:dyDescent="0.3">
      <c r="A1273" s="303" t="s">
        <v>11</v>
      </c>
      <c r="B1273" s="304"/>
      <c r="C1273" s="304"/>
      <c r="D1273" s="304"/>
      <c r="E1273" s="304"/>
      <c r="F1273" s="304"/>
      <c r="G1273" s="304"/>
      <c r="H1273" s="304"/>
      <c r="I1273" s="304"/>
      <c r="J1273" s="304"/>
      <c r="K1273" s="304"/>
      <c r="L1273" s="305"/>
    </row>
    <row r="1274" spans="1:12" ht="18" customHeight="1" x14ac:dyDescent="0.3">
      <c r="A1274" s="306" t="s">
        <v>100</v>
      </c>
      <c r="B1274" s="307"/>
      <c r="C1274" s="307"/>
      <c r="D1274" s="307"/>
      <c r="E1274" s="307"/>
      <c r="F1274" s="307"/>
      <c r="G1274" s="307"/>
      <c r="H1274" s="307"/>
      <c r="I1274" s="307"/>
      <c r="J1274" s="307"/>
      <c r="K1274" s="307"/>
      <c r="L1274" s="308"/>
    </row>
    <row r="1275" spans="1:12" ht="18" customHeight="1" x14ac:dyDescent="0.3">
      <c r="A1275" s="309" t="s">
        <v>92</v>
      </c>
      <c r="B1275" s="309"/>
      <c r="C1275" s="309"/>
      <c r="D1275" s="310" t="s">
        <v>101</v>
      </c>
      <c r="E1275" s="311"/>
      <c r="F1275" s="310" t="s">
        <v>102</v>
      </c>
      <c r="G1275" s="312"/>
      <c r="H1275" s="311"/>
      <c r="I1275" s="313">
        <f>$J1271</f>
        <v>0</v>
      </c>
      <c r="J1275" s="313"/>
      <c r="K1275" s="315" t="s">
        <v>103</v>
      </c>
      <c r="L1275" s="316"/>
    </row>
    <row r="1276" spans="1:12" ht="18" customHeight="1" x14ac:dyDescent="0.3">
      <c r="A1276" s="319" t="s">
        <v>104</v>
      </c>
      <c r="B1276" s="319"/>
      <c r="C1276" s="319"/>
      <c r="D1276" s="320" t="s">
        <v>105</v>
      </c>
      <c r="E1276" s="321"/>
      <c r="F1276" s="320" t="s">
        <v>106</v>
      </c>
      <c r="G1276" s="322"/>
      <c r="H1276" s="321"/>
      <c r="I1276" s="314"/>
      <c r="J1276" s="314"/>
      <c r="K1276" s="317"/>
      <c r="L1276" s="318"/>
    </row>
    <row r="1277" spans="1:12" ht="18" customHeight="1" x14ac:dyDescent="0.3">
      <c r="A1277" s="453" t="str">
        <f>MID(VLOOKUP('전체 훈련생 평가 채점표'!$L$2,'기초데이타(작성필히)'!$A$5:$P$19,9),18,50)&amp;" 수행평가"</f>
        <v xml:space="preserve">  스마트문화앱UX설계 수행평가</v>
      </c>
      <c r="B1277" s="453"/>
      <c r="C1277" s="453"/>
      <c r="D1277" s="453"/>
      <c r="E1277" s="453"/>
      <c r="F1277" s="453"/>
      <c r="G1277" s="453"/>
      <c r="H1277" s="453"/>
      <c r="I1277" s="453"/>
      <c r="J1277" s="453"/>
      <c r="K1277" s="453"/>
      <c r="L1277" s="453"/>
    </row>
    <row r="1278" spans="1:12" ht="18" customHeight="1" x14ac:dyDescent="0.3">
      <c r="A1278" s="309" t="s">
        <v>16</v>
      </c>
      <c r="B1278" s="454">
        <f>VLOOKUP('전체 훈련생 평가 채점표'!$L$2,'기초데이타(작성필히)'!$A$5:$P$19,3)</f>
        <v>2021</v>
      </c>
      <c r="C1278" s="454" t="s">
        <v>17</v>
      </c>
      <c r="D1278" s="455" t="str">
        <f>VLOOKUP('전체 훈련생 평가 채점표'!$L$2,'기초데이타(작성필히)'!$A$5:$P$19,4)</f>
        <v>[디지털디자인]반응형 웹디자인(UIUX) &amp; 웹퍼블리셔 디지털 실무 양성과정 A-5</v>
      </c>
      <c r="E1278" s="455"/>
      <c r="F1278" s="455"/>
      <c r="G1278" s="454" t="s">
        <v>18</v>
      </c>
      <c r="H1278" s="359" t="str">
        <f>VLOOKUP('전체 훈련생 평가 채점표'!$L$2,'기초데이타(작성필히)'!$A$5:$P$19,5)</f>
        <v>21.08.31 ~ 22.02.07</v>
      </c>
      <c r="I1278" s="360"/>
      <c r="J1278" s="361"/>
      <c r="K1278" s="460" t="s">
        <v>78</v>
      </c>
      <c r="L1278" s="309" t="str">
        <f>VLOOKUP('전체 훈련생 평가 채점표'!$L$2,'기초데이타(작성필히)'!$A$5:$P$19,6)</f>
        <v>760H</v>
      </c>
    </row>
    <row r="1279" spans="1:12" ht="18" customHeight="1" x14ac:dyDescent="0.3">
      <c r="A1279" s="412"/>
      <c r="B1279" s="413"/>
      <c r="C1279" s="413"/>
      <c r="D1279" s="456"/>
      <c r="E1279" s="456"/>
      <c r="F1279" s="456"/>
      <c r="G1279" s="413"/>
      <c r="H1279" s="457"/>
      <c r="I1279" s="458"/>
      <c r="J1279" s="459"/>
      <c r="K1279" s="461"/>
      <c r="L1279" s="412"/>
    </row>
    <row r="1280" spans="1:12" ht="18" customHeight="1" x14ac:dyDescent="0.3">
      <c r="A1280" s="412" t="s">
        <v>23</v>
      </c>
      <c r="B1280" s="412"/>
      <c r="C1280" s="412" t="str">
        <f>LEFT(VLOOKUP('전체 훈련생 평가 채점표'!$L$2,'기초데이타(작성필히)'!$A$5:$P$19,9),17)</f>
        <v>[0803020911_18v3]</v>
      </c>
      <c r="D1280" s="412"/>
      <c r="E1280" s="412"/>
      <c r="F1280" s="412"/>
      <c r="G1280" s="413" t="s">
        <v>24</v>
      </c>
      <c r="H1280" s="412" t="str">
        <f>VLOOKUP('전체 훈련생 평가 채점표'!$L$2,'기초데이타(작성필히)'!$A$5:$P$19,12)</f>
        <v>이창훈</v>
      </c>
      <c r="I1280" s="412"/>
      <c r="J1280" s="412"/>
      <c r="K1280" s="414"/>
      <c r="L1280" s="415" t="s">
        <v>25</v>
      </c>
    </row>
    <row r="1281" spans="1:12" ht="18" customHeight="1" x14ac:dyDescent="0.3">
      <c r="A1281" s="412"/>
      <c r="B1281" s="412"/>
      <c r="C1281" s="412" t="str">
        <f>MID(VLOOKUP('전체 훈련생 평가 채점표'!$L$2,'기초데이타(작성필히)'!$A$5:$P$19,9),18,50)</f>
        <v xml:space="preserve">  스마트문화앱UX설계</v>
      </c>
      <c r="D1281" s="412"/>
      <c r="E1281" s="412"/>
      <c r="F1281" s="412"/>
      <c r="G1281" s="413"/>
      <c r="H1281" s="412"/>
      <c r="I1281" s="412"/>
      <c r="J1281" s="412"/>
      <c r="K1281" s="414"/>
      <c r="L1281" s="416"/>
    </row>
    <row r="1282" spans="1:12" ht="18" customHeight="1" x14ac:dyDescent="0.3">
      <c r="A1282" s="412" t="s">
        <v>79</v>
      </c>
      <c r="B1282" s="412"/>
      <c r="C1282" s="413" t="str">
        <f>'전체 훈련생 평가 채점표'!B38</f>
        <v/>
      </c>
      <c r="D1282" s="413" t="s">
        <v>21</v>
      </c>
      <c r="E1282" s="418" t="str">
        <f>VLOOKUP('전체 훈련생 평가 채점표'!$L$2,'기초데이타(작성필히)'!$A$5:$P$19,10)</f>
        <v>21.11.11~21.11.24</v>
      </c>
      <c r="F1282" s="419"/>
      <c r="G1282" s="420"/>
      <c r="H1282" s="60" t="s">
        <v>80</v>
      </c>
      <c r="I1282" s="119" t="s">
        <v>22</v>
      </c>
      <c r="J1282" s="424" t="s">
        <v>81</v>
      </c>
      <c r="K1282" s="425"/>
      <c r="L1282" s="426"/>
    </row>
    <row r="1283" spans="1:12" ht="18" customHeight="1" x14ac:dyDescent="0.3">
      <c r="A1283" s="319"/>
      <c r="B1283" s="319"/>
      <c r="C1283" s="417"/>
      <c r="D1283" s="417"/>
      <c r="E1283" s="421"/>
      <c r="F1283" s="422"/>
      <c r="G1283" s="423"/>
      <c r="H1283" s="120" t="s">
        <v>40</v>
      </c>
      <c r="I1283" s="120">
        <f>VLOOKUP('전체 훈련생 평가 채점표'!$L$2,'기초데이타(작성필히)'!$A$5:$P$19,11)</f>
        <v>70</v>
      </c>
      <c r="J1283" s="314" t="s">
        <v>40</v>
      </c>
      <c r="K1283" s="314"/>
      <c r="L1283" s="427"/>
    </row>
    <row r="1284" spans="1:12" ht="18" customHeight="1" x14ac:dyDescent="0.3"/>
    <row r="1285" spans="1:12" ht="18" customHeight="1" x14ac:dyDescent="0.3">
      <c r="A1285" s="428" t="s">
        <v>82</v>
      </c>
      <c r="B1285" s="429"/>
      <c r="C1285" s="429"/>
      <c r="D1285" s="431" t="s">
        <v>83</v>
      </c>
      <c r="E1285" s="431"/>
      <c r="F1285" s="431"/>
      <c r="G1285" s="433" t="s">
        <v>84</v>
      </c>
      <c r="H1285" s="434"/>
      <c r="I1285" s="434"/>
      <c r="J1285" s="434"/>
      <c r="K1285" s="434"/>
      <c r="L1285" s="435"/>
    </row>
    <row r="1286" spans="1:12" ht="18" customHeight="1" x14ac:dyDescent="0.3">
      <c r="A1286" s="430"/>
      <c r="B1286" s="430"/>
      <c r="C1286" s="430"/>
      <c r="D1286" s="432"/>
      <c r="E1286" s="432"/>
      <c r="F1286" s="432"/>
      <c r="G1286" s="436"/>
      <c r="H1286" s="437"/>
      <c r="I1286" s="437"/>
      <c r="J1286" s="437"/>
      <c r="K1286" s="437"/>
      <c r="L1286" s="438"/>
    </row>
    <row r="1287" spans="1:12" ht="18" customHeight="1" x14ac:dyDescent="0.3">
      <c r="A1287" s="383" t="str">
        <f>$C1282</f>
        <v/>
      </c>
      <c r="B1287" s="439"/>
      <c r="C1287" s="439"/>
      <c r="D1287" s="441" t="str">
        <f>$H1280</f>
        <v>이창훈</v>
      </c>
      <c r="E1287" s="443" t="s">
        <v>25</v>
      </c>
      <c r="F1287" s="444"/>
      <c r="G1287" s="382" t="s">
        <v>85</v>
      </c>
      <c r="H1287" s="447">
        <f>VLOOKUP('전체 훈련생 평가 채점표'!$L$2,'기초데이타(작성필히)'!$A$5:$P$19,13)</f>
        <v>44524</v>
      </c>
      <c r="I1287" s="448"/>
      <c r="J1287" s="448"/>
      <c r="K1287" s="449"/>
      <c r="L1287" s="391" t="s">
        <v>86</v>
      </c>
    </row>
    <row r="1288" spans="1:12" ht="18" customHeight="1" x14ac:dyDescent="0.3">
      <c r="A1288" s="440"/>
      <c r="B1288" s="440"/>
      <c r="C1288" s="440"/>
      <c r="D1288" s="442"/>
      <c r="E1288" s="445"/>
      <c r="F1288" s="446"/>
      <c r="G1288" s="384"/>
      <c r="H1288" s="450"/>
      <c r="I1288" s="451"/>
      <c r="J1288" s="451"/>
      <c r="K1288" s="452"/>
      <c r="L1288" s="392"/>
    </row>
    <row r="1289" spans="1:12" ht="18" customHeight="1" x14ac:dyDescent="0.3">
      <c r="A1289" s="380" t="s">
        <v>87</v>
      </c>
      <c r="B1289" s="380"/>
      <c r="C1289" s="380"/>
      <c r="D1289" s="382" t="str">
        <f>$C1280</f>
        <v>[0803020911_18v3]</v>
      </c>
      <c r="E1289" s="382"/>
      <c r="F1289" s="382"/>
      <c r="G1289" s="382" t="s">
        <v>88</v>
      </c>
      <c r="H1289" s="385"/>
      <c r="I1289" s="386"/>
      <c r="J1289" s="386"/>
      <c r="K1289" s="387"/>
      <c r="L1289" s="391" t="s">
        <v>86</v>
      </c>
    </row>
    <row r="1290" spans="1:12" ht="18" customHeight="1" x14ac:dyDescent="0.3">
      <c r="A1290" s="381"/>
      <c r="B1290" s="381"/>
      <c r="C1290" s="381"/>
      <c r="D1290" s="383"/>
      <c r="E1290" s="383"/>
      <c r="F1290" s="383"/>
      <c r="G1290" s="384"/>
      <c r="H1290" s="388"/>
      <c r="I1290" s="389"/>
      <c r="J1290" s="389"/>
      <c r="K1290" s="390"/>
      <c r="L1290" s="392"/>
    </row>
    <row r="1291" spans="1:12" ht="18" customHeight="1" x14ac:dyDescent="0.3">
      <c r="A1291" s="393" t="str">
        <f>VLOOKUP('전체 훈련생 평가 채점표'!$L$2,'기초데이타(작성필히)'!$A$5:$P$19,7)</f>
        <v>스타일가이드제작 및 시안디자인 제작2</v>
      </c>
      <c r="B1291" s="393"/>
      <c r="C1291" s="393"/>
      <c r="D1291" s="383" t="str">
        <f>$C1281</f>
        <v xml:space="preserve">  스마트문화앱UX설계</v>
      </c>
      <c r="E1291" s="383"/>
      <c r="F1291" s="383"/>
      <c r="G1291" s="382" t="s">
        <v>89</v>
      </c>
      <c r="H1291" s="385"/>
      <c r="I1291" s="386"/>
      <c r="J1291" s="386"/>
      <c r="K1291" s="387"/>
      <c r="L1291" s="391" t="s">
        <v>86</v>
      </c>
    </row>
    <row r="1292" spans="1:12" ht="18" customHeight="1" x14ac:dyDescent="0.3">
      <c r="A1292" s="394"/>
      <c r="B1292" s="394"/>
      <c r="C1292" s="394"/>
      <c r="D1292" s="384"/>
      <c r="E1292" s="384"/>
      <c r="F1292" s="384"/>
      <c r="G1292" s="384"/>
      <c r="H1292" s="388"/>
      <c r="I1292" s="389"/>
      <c r="J1292" s="389"/>
      <c r="K1292" s="390"/>
      <c r="L1292" s="392"/>
    </row>
    <row r="1293" spans="1:12" ht="18" customHeight="1" x14ac:dyDescent="0.3">
      <c r="A1293" s="395" t="s">
        <v>90</v>
      </c>
      <c r="B1293" s="396"/>
      <c r="C1293" s="396"/>
      <c r="D1293" s="396"/>
      <c r="E1293" s="396"/>
      <c r="F1293" s="397"/>
      <c r="G1293" s="398" t="s">
        <v>91</v>
      </c>
      <c r="H1293" s="399"/>
      <c r="I1293" s="399"/>
      <c r="J1293" s="399"/>
      <c r="K1293" s="399"/>
      <c r="L1293" s="400"/>
    </row>
    <row r="1294" spans="1:12" ht="18" customHeight="1" x14ac:dyDescent="0.3">
      <c r="A1294" s="395"/>
      <c r="B1294" s="396"/>
      <c r="C1294" s="396"/>
      <c r="D1294" s="396"/>
      <c r="E1294" s="396"/>
      <c r="F1294" s="397"/>
      <c r="G1294" s="401"/>
      <c r="H1294" s="402"/>
      <c r="I1294" s="402"/>
      <c r="J1294" s="402"/>
      <c r="K1294" s="402"/>
      <c r="L1294" s="403"/>
    </row>
    <row r="1295" spans="1:12" ht="18" customHeight="1" x14ac:dyDescent="0.3">
      <c r="A1295" s="341" t="s">
        <v>126</v>
      </c>
      <c r="B1295" s="342"/>
      <c r="C1295" s="342"/>
      <c r="D1295" s="342"/>
      <c r="E1295" s="342"/>
      <c r="F1295" s="343"/>
      <c r="G1295" s="404" t="s">
        <v>92</v>
      </c>
      <c r="H1295" s="406" t="s">
        <v>93</v>
      </c>
      <c r="I1295" s="407"/>
      <c r="J1295" s="407"/>
      <c r="K1295" s="407"/>
      <c r="L1295" s="408"/>
    </row>
    <row r="1296" spans="1:12" ht="18" customHeight="1" x14ac:dyDescent="0.3">
      <c r="A1296" s="341"/>
      <c r="B1296" s="342"/>
      <c r="C1296" s="342"/>
      <c r="D1296" s="342"/>
      <c r="E1296" s="342"/>
      <c r="F1296" s="343"/>
      <c r="G1296" s="405"/>
      <c r="H1296" s="409"/>
      <c r="I1296" s="410"/>
      <c r="J1296" s="410"/>
      <c r="K1296" s="410"/>
      <c r="L1296" s="411"/>
    </row>
    <row r="1297" spans="1:12" ht="18" customHeight="1" x14ac:dyDescent="0.3">
      <c r="A1297" s="341"/>
      <c r="B1297" s="342"/>
      <c r="C1297" s="342"/>
      <c r="D1297" s="342"/>
      <c r="E1297" s="342"/>
      <c r="F1297" s="343"/>
      <c r="G1297" s="323" t="str">
        <f>IF($J1315&gt;=90,"○","")</f>
        <v/>
      </c>
      <c r="H1297" s="326" t="s">
        <v>94</v>
      </c>
      <c r="I1297" s="327"/>
      <c r="J1297" s="327"/>
      <c r="K1297" s="327"/>
      <c r="L1297" s="328"/>
    </row>
    <row r="1298" spans="1:12" ht="18" customHeight="1" x14ac:dyDescent="0.3">
      <c r="A1298" s="341"/>
      <c r="B1298" s="342"/>
      <c r="C1298" s="342"/>
      <c r="D1298" s="342"/>
      <c r="E1298" s="342"/>
      <c r="F1298" s="343"/>
      <c r="G1298" s="324"/>
      <c r="H1298" s="329"/>
      <c r="I1298" s="330"/>
      <c r="J1298" s="330"/>
      <c r="K1298" s="330"/>
      <c r="L1298" s="331"/>
    </row>
    <row r="1299" spans="1:12" ht="18" customHeight="1" x14ac:dyDescent="0.3">
      <c r="A1299" s="341"/>
      <c r="B1299" s="342"/>
      <c r="C1299" s="342"/>
      <c r="D1299" s="342"/>
      <c r="E1299" s="342"/>
      <c r="F1299" s="343"/>
      <c r="G1299" s="325"/>
      <c r="H1299" s="332"/>
      <c r="I1299" s="333"/>
      <c r="J1299" s="333"/>
      <c r="K1299" s="333"/>
      <c r="L1299" s="334"/>
    </row>
    <row r="1300" spans="1:12" ht="18" customHeight="1" x14ac:dyDescent="0.3">
      <c r="A1300" s="341"/>
      <c r="B1300" s="342"/>
      <c r="C1300" s="342"/>
      <c r="D1300" s="342"/>
      <c r="E1300" s="342"/>
      <c r="F1300" s="343"/>
      <c r="G1300" s="323" t="str">
        <f>IF(AND($J1315&lt;=89.9,$J1315&gt;=80),"○","")</f>
        <v/>
      </c>
      <c r="H1300" s="326" t="s">
        <v>95</v>
      </c>
      <c r="I1300" s="327"/>
      <c r="J1300" s="327"/>
      <c r="K1300" s="327"/>
      <c r="L1300" s="328"/>
    </row>
    <row r="1301" spans="1:12" ht="18" customHeight="1" x14ac:dyDescent="0.3">
      <c r="A1301" s="341"/>
      <c r="B1301" s="342"/>
      <c r="C1301" s="342"/>
      <c r="D1301" s="342"/>
      <c r="E1301" s="342"/>
      <c r="F1301" s="343"/>
      <c r="G1301" s="324"/>
      <c r="H1301" s="329"/>
      <c r="I1301" s="330"/>
      <c r="J1301" s="330"/>
      <c r="K1301" s="330"/>
      <c r="L1301" s="331"/>
    </row>
    <row r="1302" spans="1:12" ht="18" customHeight="1" x14ac:dyDescent="0.3">
      <c r="A1302" s="341"/>
      <c r="B1302" s="342"/>
      <c r="C1302" s="342"/>
      <c r="D1302" s="342"/>
      <c r="E1302" s="342"/>
      <c r="F1302" s="343"/>
      <c r="G1302" s="325"/>
      <c r="H1302" s="332"/>
      <c r="I1302" s="333"/>
      <c r="J1302" s="333"/>
      <c r="K1302" s="333"/>
      <c r="L1302" s="334"/>
    </row>
    <row r="1303" spans="1:12" ht="18" customHeight="1" x14ac:dyDescent="0.3">
      <c r="A1303" s="341"/>
      <c r="B1303" s="342"/>
      <c r="C1303" s="342"/>
      <c r="D1303" s="342"/>
      <c r="E1303" s="342"/>
      <c r="F1303" s="343"/>
      <c r="G1303" s="323" t="str">
        <f>IF(AND($J1315&lt;=79.9,$J1315&gt;=70),"○","")</f>
        <v/>
      </c>
      <c r="H1303" s="326" t="s">
        <v>96</v>
      </c>
      <c r="I1303" s="327"/>
      <c r="J1303" s="327"/>
      <c r="K1303" s="327"/>
      <c r="L1303" s="328"/>
    </row>
    <row r="1304" spans="1:12" ht="18" customHeight="1" x14ac:dyDescent="0.3">
      <c r="A1304" s="341"/>
      <c r="B1304" s="342"/>
      <c r="C1304" s="342"/>
      <c r="D1304" s="342"/>
      <c r="E1304" s="342"/>
      <c r="F1304" s="343"/>
      <c r="G1304" s="324"/>
      <c r="H1304" s="329"/>
      <c r="I1304" s="330"/>
      <c r="J1304" s="330"/>
      <c r="K1304" s="330"/>
      <c r="L1304" s="331"/>
    </row>
    <row r="1305" spans="1:12" ht="18" customHeight="1" x14ac:dyDescent="0.3">
      <c r="A1305" s="344" t="str">
        <f>"- "&amp;'전체 훈련생 평가 채점표'!$G$8</f>
        <v>- 0</v>
      </c>
      <c r="B1305" s="345"/>
      <c r="C1305" s="345"/>
      <c r="D1305" s="345"/>
      <c r="E1305" s="345"/>
      <c r="F1305" s="346"/>
      <c r="G1305" s="325"/>
      <c r="H1305" s="332"/>
      <c r="I1305" s="333"/>
      <c r="J1305" s="333"/>
      <c r="K1305" s="333"/>
      <c r="L1305" s="334"/>
    </row>
    <row r="1306" spans="1:12" ht="18" customHeight="1" x14ac:dyDescent="0.3">
      <c r="A1306" s="344" t="str">
        <f>"- "&amp;'전체 훈련생 평가 채점표'!$F$8</f>
        <v>- 포트폴리오</v>
      </c>
      <c r="B1306" s="345"/>
      <c r="C1306" s="345"/>
      <c r="D1306" s="345"/>
      <c r="E1306" s="345"/>
      <c r="F1306" s="346"/>
      <c r="G1306" s="323" t="str">
        <f>IF(AND($J1315&lt;=69.9,$J1315&gt;=60),"○","")</f>
        <v/>
      </c>
      <c r="H1306" s="326" t="s">
        <v>97</v>
      </c>
      <c r="I1306" s="327"/>
      <c r="J1306" s="327"/>
      <c r="K1306" s="327"/>
      <c r="L1306" s="328"/>
    </row>
    <row r="1307" spans="1:12" ht="18" customHeight="1" x14ac:dyDescent="0.3">
      <c r="A1307" s="347"/>
      <c r="B1307" s="348"/>
      <c r="C1307" s="348"/>
      <c r="D1307" s="348"/>
      <c r="E1307" s="348"/>
      <c r="F1307" s="349"/>
      <c r="G1307" s="324"/>
      <c r="H1307" s="329"/>
      <c r="I1307" s="330"/>
      <c r="J1307" s="330"/>
      <c r="K1307" s="330"/>
      <c r="L1307" s="331"/>
    </row>
    <row r="1308" spans="1:12" ht="18" customHeight="1" x14ac:dyDescent="0.3">
      <c r="A1308" s="347"/>
      <c r="B1308" s="348"/>
      <c r="C1308" s="348"/>
      <c r="D1308" s="348"/>
      <c r="E1308" s="348"/>
      <c r="F1308" s="349"/>
      <c r="G1308" s="325"/>
      <c r="H1308" s="332"/>
      <c r="I1308" s="333"/>
      <c r="J1308" s="333"/>
      <c r="K1308" s="333"/>
      <c r="L1308" s="334"/>
    </row>
    <row r="1309" spans="1:12" ht="18" customHeight="1" x14ac:dyDescent="0.3">
      <c r="A1309" s="347"/>
      <c r="B1309" s="348"/>
      <c r="C1309" s="348"/>
      <c r="D1309" s="348"/>
      <c r="E1309" s="348"/>
      <c r="F1309" s="349"/>
      <c r="G1309" s="323" t="str">
        <f>IF($J1315&lt;=59.9,"○","")</f>
        <v>○</v>
      </c>
      <c r="H1309" s="326" t="s">
        <v>98</v>
      </c>
      <c r="I1309" s="327"/>
      <c r="J1309" s="327"/>
      <c r="K1309" s="327"/>
      <c r="L1309" s="328"/>
    </row>
    <row r="1310" spans="1:12" ht="18" customHeight="1" x14ac:dyDescent="0.3">
      <c r="A1310" s="347"/>
      <c r="B1310" s="348"/>
      <c r="C1310" s="348"/>
      <c r="D1310" s="348"/>
      <c r="E1310" s="348"/>
      <c r="F1310" s="349"/>
      <c r="G1310" s="324"/>
      <c r="H1310" s="329"/>
      <c r="I1310" s="330"/>
      <c r="J1310" s="330"/>
      <c r="K1310" s="330"/>
      <c r="L1310" s="331"/>
    </row>
    <row r="1311" spans="1:12" ht="18" customHeight="1" x14ac:dyDescent="0.3">
      <c r="A1311" s="347"/>
      <c r="B1311" s="348"/>
      <c r="C1311" s="348"/>
      <c r="D1311" s="348"/>
      <c r="E1311" s="348"/>
      <c r="F1311" s="349"/>
      <c r="G1311" s="325"/>
      <c r="H1311" s="332"/>
      <c r="I1311" s="333"/>
      <c r="J1311" s="333"/>
      <c r="K1311" s="333"/>
      <c r="L1311" s="334"/>
    </row>
    <row r="1312" spans="1:12" ht="18" customHeight="1" x14ac:dyDescent="0.3">
      <c r="A1312" s="347"/>
      <c r="B1312" s="348"/>
      <c r="C1312" s="348"/>
      <c r="D1312" s="348"/>
      <c r="E1312" s="348"/>
      <c r="F1312" s="349"/>
      <c r="G1312" s="335" t="s">
        <v>99</v>
      </c>
      <c r="H1312" s="336"/>
      <c r="I1312" s="336"/>
      <c r="J1312" s="336"/>
      <c r="K1312" s="336"/>
      <c r="L1312" s="337"/>
    </row>
    <row r="1313" spans="1:12" ht="18" customHeight="1" x14ac:dyDescent="0.3">
      <c r="A1313" s="350"/>
      <c r="B1313" s="351"/>
      <c r="C1313" s="351"/>
      <c r="D1313" s="351"/>
      <c r="E1313" s="351"/>
      <c r="F1313" s="352"/>
      <c r="G1313" s="338"/>
      <c r="H1313" s="339"/>
      <c r="I1313" s="339"/>
      <c r="J1313" s="339"/>
      <c r="K1313" s="339"/>
      <c r="L1313" s="340"/>
    </row>
    <row r="1314" spans="1:12" ht="18" customHeight="1" x14ac:dyDescent="0.3">
      <c r="A1314" s="353">
        <f>A1270</f>
        <v>0</v>
      </c>
      <c r="B1314" s="354"/>
      <c r="C1314" s="355"/>
      <c r="D1314" s="356"/>
      <c r="E1314" s="357"/>
      <c r="F1314" s="357"/>
      <c r="G1314" s="357"/>
      <c r="H1314" s="357"/>
      <c r="I1314" s="358"/>
      <c r="J1314" s="359" t="s">
        <v>125</v>
      </c>
      <c r="K1314" s="360"/>
      <c r="L1314" s="361"/>
    </row>
    <row r="1315" spans="1:12" ht="18" customHeight="1" x14ac:dyDescent="0.3">
      <c r="A1315" s="362" t="str">
        <f>A1271</f>
        <v>포트폴리오</v>
      </c>
      <c r="B1315" s="363"/>
      <c r="C1315" s="364"/>
      <c r="D1315" s="365" t="str">
        <f>'전체 훈련생 평가 채점표'!F38</f>
        <v/>
      </c>
      <c r="E1315" s="366"/>
      <c r="F1315" s="366"/>
      <c r="G1315" s="366"/>
      <c r="H1315" s="366"/>
      <c r="I1315" s="367"/>
      <c r="J1315" s="368">
        <f>IFERROR((D1314+D1315+D1316),0)</f>
        <v>0</v>
      </c>
      <c r="K1315" s="369"/>
      <c r="L1315" s="370"/>
    </row>
    <row r="1316" spans="1:12" ht="18" customHeight="1" x14ac:dyDescent="0.3">
      <c r="A1316" s="374">
        <f>A1272</f>
        <v>0</v>
      </c>
      <c r="B1316" s="375"/>
      <c r="C1316" s="376"/>
      <c r="D1316" s="377" t="str">
        <f>'전체 훈련생 평가 채점표'!G38</f>
        <v/>
      </c>
      <c r="E1316" s="378"/>
      <c r="F1316" s="378"/>
      <c r="G1316" s="378"/>
      <c r="H1316" s="378"/>
      <c r="I1316" s="379"/>
      <c r="J1316" s="371"/>
      <c r="K1316" s="372"/>
      <c r="L1316" s="373"/>
    </row>
    <row r="1317" spans="1:12" ht="18" customHeight="1" x14ac:dyDescent="0.3">
      <c r="A1317" s="303" t="s">
        <v>11</v>
      </c>
      <c r="B1317" s="304"/>
      <c r="C1317" s="304"/>
      <c r="D1317" s="304"/>
      <c r="E1317" s="304"/>
      <c r="F1317" s="304"/>
      <c r="G1317" s="304"/>
      <c r="H1317" s="304"/>
      <c r="I1317" s="304"/>
      <c r="J1317" s="304"/>
      <c r="K1317" s="304"/>
      <c r="L1317" s="305"/>
    </row>
    <row r="1318" spans="1:12" ht="18" customHeight="1" x14ac:dyDescent="0.3">
      <c r="A1318" s="306" t="s">
        <v>100</v>
      </c>
      <c r="B1318" s="307"/>
      <c r="C1318" s="307"/>
      <c r="D1318" s="307"/>
      <c r="E1318" s="307"/>
      <c r="F1318" s="307"/>
      <c r="G1318" s="307"/>
      <c r="H1318" s="307"/>
      <c r="I1318" s="307"/>
      <c r="J1318" s="307"/>
      <c r="K1318" s="307"/>
      <c r="L1318" s="308"/>
    </row>
    <row r="1319" spans="1:12" ht="18" customHeight="1" x14ac:dyDescent="0.3">
      <c r="A1319" s="309" t="s">
        <v>92</v>
      </c>
      <c r="B1319" s="309"/>
      <c r="C1319" s="309"/>
      <c r="D1319" s="310" t="s">
        <v>101</v>
      </c>
      <c r="E1319" s="311"/>
      <c r="F1319" s="310" t="s">
        <v>102</v>
      </c>
      <c r="G1319" s="312"/>
      <c r="H1319" s="311"/>
      <c r="I1319" s="313">
        <f>$J1315</f>
        <v>0</v>
      </c>
      <c r="J1319" s="313"/>
      <c r="K1319" s="315" t="s">
        <v>103</v>
      </c>
      <c r="L1319" s="316"/>
    </row>
    <row r="1320" spans="1:12" ht="18" customHeight="1" x14ac:dyDescent="0.3">
      <c r="A1320" s="319" t="s">
        <v>104</v>
      </c>
      <c r="B1320" s="319"/>
      <c r="C1320" s="319"/>
      <c r="D1320" s="320" t="s">
        <v>105</v>
      </c>
      <c r="E1320" s="321"/>
      <c r="F1320" s="320" t="s">
        <v>106</v>
      </c>
      <c r="G1320" s="322"/>
      <c r="H1320" s="321"/>
      <c r="I1320" s="314"/>
      <c r="J1320" s="314"/>
      <c r="K1320" s="317"/>
      <c r="L1320" s="318"/>
    </row>
  </sheetData>
  <mergeCells count="2340">
    <mergeCell ref="A6:B7"/>
    <mergeCell ref="C6:C7"/>
    <mergeCell ref="D6:D7"/>
    <mergeCell ref="E6:G7"/>
    <mergeCell ref="J6:K6"/>
    <mergeCell ref="L6:L7"/>
    <mergeCell ref="J7:K7"/>
    <mergeCell ref="A4:B5"/>
    <mergeCell ref="C4:F4"/>
    <mergeCell ref="G4:G5"/>
    <mergeCell ref="H4:K5"/>
    <mergeCell ref="L4:L5"/>
    <mergeCell ref="C5:F5"/>
    <mergeCell ref="A1:L1"/>
    <mergeCell ref="A2:A3"/>
    <mergeCell ref="B2:B3"/>
    <mergeCell ref="C2:C3"/>
    <mergeCell ref="D2:F3"/>
    <mergeCell ref="G2:G3"/>
    <mergeCell ref="H2:J3"/>
    <mergeCell ref="K2:K3"/>
    <mergeCell ref="L2:L3"/>
    <mergeCell ref="A13:C14"/>
    <mergeCell ref="D13:F14"/>
    <mergeCell ref="G13:G14"/>
    <mergeCell ref="H13:K14"/>
    <mergeCell ref="L13:L14"/>
    <mergeCell ref="A15:C16"/>
    <mergeCell ref="D15:F16"/>
    <mergeCell ref="G15:G16"/>
    <mergeCell ref="H15:K16"/>
    <mergeCell ref="L15:L16"/>
    <mergeCell ref="A9:C10"/>
    <mergeCell ref="D9:F10"/>
    <mergeCell ref="G9:L10"/>
    <mergeCell ref="A11:C12"/>
    <mergeCell ref="D11:D12"/>
    <mergeCell ref="E11:F12"/>
    <mergeCell ref="G11:G12"/>
    <mergeCell ref="H11:K12"/>
    <mergeCell ref="L11:L12"/>
    <mergeCell ref="A38:C38"/>
    <mergeCell ref="D38:I38"/>
    <mergeCell ref="J38:L38"/>
    <mergeCell ref="A39:C39"/>
    <mergeCell ref="D39:I39"/>
    <mergeCell ref="J39:L40"/>
    <mergeCell ref="A40:C40"/>
    <mergeCell ref="D40:I40"/>
    <mergeCell ref="H27:L29"/>
    <mergeCell ref="G30:G32"/>
    <mergeCell ref="H30:L32"/>
    <mergeCell ref="G33:G35"/>
    <mergeCell ref="H33:L35"/>
    <mergeCell ref="G36:L37"/>
    <mergeCell ref="A17:F18"/>
    <mergeCell ref="G17:L18"/>
    <mergeCell ref="G19:G20"/>
    <mergeCell ref="H19:L20"/>
    <mergeCell ref="G21:G23"/>
    <mergeCell ref="H21:L23"/>
    <mergeCell ref="G24:G26"/>
    <mergeCell ref="H24:L26"/>
    <mergeCell ref="G27:G29"/>
    <mergeCell ref="A19:F28"/>
    <mergeCell ref="A29:F29"/>
    <mergeCell ref="A30:F30"/>
    <mergeCell ref="A31:F37"/>
    <mergeCell ref="A45:L45"/>
    <mergeCell ref="A46:A47"/>
    <mergeCell ref="B46:B47"/>
    <mergeCell ref="C46:C47"/>
    <mergeCell ref="D46:F47"/>
    <mergeCell ref="G46:G47"/>
    <mergeCell ref="H46:J47"/>
    <mergeCell ref="K46:K47"/>
    <mergeCell ref="L46:L47"/>
    <mergeCell ref="A41:L41"/>
    <mergeCell ref="A42:L42"/>
    <mergeCell ref="A43:C43"/>
    <mergeCell ref="D43:E43"/>
    <mergeCell ref="F43:H43"/>
    <mergeCell ref="I43:J44"/>
    <mergeCell ref="K43:L44"/>
    <mergeCell ref="A44:C44"/>
    <mergeCell ref="D44:E44"/>
    <mergeCell ref="F44:H44"/>
    <mergeCell ref="A53:C54"/>
    <mergeCell ref="D53:F54"/>
    <mergeCell ref="G53:L54"/>
    <mergeCell ref="A55:C56"/>
    <mergeCell ref="D55:D56"/>
    <mergeCell ref="E55:F56"/>
    <mergeCell ref="G55:G56"/>
    <mergeCell ref="H55:K56"/>
    <mergeCell ref="L55:L56"/>
    <mergeCell ref="A50:B51"/>
    <mergeCell ref="C50:C51"/>
    <mergeCell ref="D50:D51"/>
    <mergeCell ref="E50:G51"/>
    <mergeCell ref="J50:K50"/>
    <mergeCell ref="L50:L51"/>
    <mergeCell ref="J51:K51"/>
    <mergeCell ref="A48:B49"/>
    <mergeCell ref="C48:F48"/>
    <mergeCell ref="G48:G49"/>
    <mergeCell ref="H48:K49"/>
    <mergeCell ref="L48:L49"/>
    <mergeCell ref="C49:F49"/>
    <mergeCell ref="H71:L73"/>
    <mergeCell ref="G74:G76"/>
    <mergeCell ref="H74:L76"/>
    <mergeCell ref="G77:G79"/>
    <mergeCell ref="H77:L79"/>
    <mergeCell ref="G80:L81"/>
    <mergeCell ref="A61:F62"/>
    <mergeCell ref="G61:L62"/>
    <mergeCell ref="G63:G64"/>
    <mergeCell ref="H63:L64"/>
    <mergeCell ref="G65:G67"/>
    <mergeCell ref="H65:L67"/>
    <mergeCell ref="G68:G70"/>
    <mergeCell ref="H68:L70"/>
    <mergeCell ref="G71:G73"/>
    <mergeCell ref="A57:C58"/>
    <mergeCell ref="D57:F58"/>
    <mergeCell ref="G57:G58"/>
    <mergeCell ref="H57:K58"/>
    <mergeCell ref="L57:L58"/>
    <mergeCell ref="A59:C60"/>
    <mergeCell ref="D59:F60"/>
    <mergeCell ref="G59:G60"/>
    <mergeCell ref="H59:K60"/>
    <mergeCell ref="L59:L60"/>
    <mergeCell ref="A63:F72"/>
    <mergeCell ref="A73:F73"/>
    <mergeCell ref="A74:F74"/>
    <mergeCell ref="A75:F81"/>
    <mergeCell ref="A85:L85"/>
    <mergeCell ref="A86:L86"/>
    <mergeCell ref="A87:C87"/>
    <mergeCell ref="D87:E87"/>
    <mergeCell ref="F87:H87"/>
    <mergeCell ref="I87:J88"/>
    <mergeCell ref="K87:L88"/>
    <mergeCell ref="A88:C88"/>
    <mergeCell ref="D88:E88"/>
    <mergeCell ref="F88:H88"/>
    <mergeCell ref="A82:C82"/>
    <mergeCell ref="D82:I82"/>
    <mergeCell ref="J82:L82"/>
    <mergeCell ref="A83:C83"/>
    <mergeCell ref="D83:I83"/>
    <mergeCell ref="J83:L84"/>
    <mergeCell ref="A84:C84"/>
    <mergeCell ref="D84:I84"/>
    <mergeCell ref="A94:B95"/>
    <mergeCell ref="C94:C95"/>
    <mergeCell ref="D94:D95"/>
    <mergeCell ref="E94:G95"/>
    <mergeCell ref="J94:K94"/>
    <mergeCell ref="L94:L95"/>
    <mergeCell ref="J95:K95"/>
    <mergeCell ref="A92:B93"/>
    <mergeCell ref="C92:F92"/>
    <mergeCell ref="G92:G93"/>
    <mergeCell ref="H92:K93"/>
    <mergeCell ref="L92:L93"/>
    <mergeCell ref="C93:F93"/>
    <mergeCell ref="A89:L89"/>
    <mergeCell ref="A90:A91"/>
    <mergeCell ref="B90:B91"/>
    <mergeCell ref="C90:C91"/>
    <mergeCell ref="D90:F91"/>
    <mergeCell ref="G90:G91"/>
    <mergeCell ref="H90:J91"/>
    <mergeCell ref="K90:K91"/>
    <mergeCell ref="L90:L91"/>
    <mergeCell ref="A101:C102"/>
    <mergeCell ref="D101:F102"/>
    <mergeCell ref="G101:G102"/>
    <mergeCell ref="H101:K102"/>
    <mergeCell ref="L101:L102"/>
    <mergeCell ref="A103:C104"/>
    <mergeCell ref="D103:F104"/>
    <mergeCell ref="G103:G104"/>
    <mergeCell ref="H103:K104"/>
    <mergeCell ref="L103:L104"/>
    <mergeCell ref="A97:C98"/>
    <mergeCell ref="D97:F98"/>
    <mergeCell ref="G97:L98"/>
    <mergeCell ref="A99:C100"/>
    <mergeCell ref="D99:D100"/>
    <mergeCell ref="E99:F100"/>
    <mergeCell ref="G99:G100"/>
    <mergeCell ref="H99:K100"/>
    <mergeCell ref="L99:L100"/>
    <mergeCell ref="A126:C126"/>
    <mergeCell ref="D126:I126"/>
    <mergeCell ref="J126:L126"/>
    <mergeCell ref="A127:C127"/>
    <mergeCell ref="D127:I127"/>
    <mergeCell ref="J127:L128"/>
    <mergeCell ref="A128:C128"/>
    <mergeCell ref="D128:I128"/>
    <mergeCell ref="H115:L117"/>
    <mergeCell ref="G118:G120"/>
    <mergeCell ref="H118:L120"/>
    <mergeCell ref="G121:G123"/>
    <mergeCell ref="H121:L123"/>
    <mergeCell ref="G124:L125"/>
    <mergeCell ref="A105:F106"/>
    <mergeCell ref="G105:L106"/>
    <mergeCell ref="G107:G108"/>
    <mergeCell ref="H107:L108"/>
    <mergeCell ref="G109:G111"/>
    <mergeCell ref="H109:L111"/>
    <mergeCell ref="G112:G114"/>
    <mergeCell ref="H112:L114"/>
    <mergeCell ref="G115:G117"/>
    <mergeCell ref="A107:F116"/>
    <mergeCell ref="A117:F117"/>
    <mergeCell ref="A118:F118"/>
    <mergeCell ref="A119:F125"/>
    <mergeCell ref="A133:L133"/>
    <mergeCell ref="A134:A135"/>
    <mergeCell ref="B134:B135"/>
    <mergeCell ref="C134:C135"/>
    <mergeCell ref="D134:F135"/>
    <mergeCell ref="G134:G135"/>
    <mergeCell ref="H134:J135"/>
    <mergeCell ref="K134:K135"/>
    <mergeCell ref="L134:L135"/>
    <mergeCell ref="A129:L129"/>
    <mergeCell ref="A130:L130"/>
    <mergeCell ref="A131:C131"/>
    <mergeCell ref="D131:E131"/>
    <mergeCell ref="F131:H131"/>
    <mergeCell ref="I131:J132"/>
    <mergeCell ref="K131:L132"/>
    <mergeCell ref="A132:C132"/>
    <mergeCell ref="D132:E132"/>
    <mergeCell ref="F132:H132"/>
    <mergeCell ref="A141:C142"/>
    <mergeCell ref="D141:F142"/>
    <mergeCell ref="G141:L142"/>
    <mergeCell ref="A143:C144"/>
    <mergeCell ref="D143:D144"/>
    <mergeCell ref="E143:F144"/>
    <mergeCell ref="G143:G144"/>
    <mergeCell ref="H143:K144"/>
    <mergeCell ref="L143:L144"/>
    <mergeCell ref="A138:B139"/>
    <mergeCell ref="C138:C139"/>
    <mergeCell ref="D138:D139"/>
    <mergeCell ref="E138:G139"/>
    <mergeCell ref="J138:K138"/>
    <mergeCell ref="L138:L139"/>
    <mergeCell ref="J139:K139"/>
    <mergeCell ref="A136:B137"/>
    <mergeCell ref="C136:F136"/>
    <mergeCell ref="G136:G137"/>
    <mergeCell ref="H136:K137"/>
    <mergeCell ref="L136:L137"/>
    <mergeCell ref="C137:F137"/>
    <mergeCell ref="H159:L161"/>
    <mergeCell ref="G162:G164"/>
    <mergeCell ref="H162:L164"/>
    <mergeCell ref="G165:G167"/>
    <mergeCell ref="H165:L167"/>
    <mergeCell ref="G168:L169"/>
    <mergeCell ref="A149:F150"/>
    <mergeCell ref="G149:L150"/>
    <mergeCell ref="G151:G152"/>
    <mergeCell ref="H151:L152"/>
    <mergeCell ref="G153:G155"/>
    <mergeCell ref="H153:L155"/>
    <mergeCell ref="G156:G158"/>
    <mergeCell ref="H156:L158"/>
    <mergeCell ref="G159:G161"/>
    <mergeCell ref="A145:C146"/>
    <mergeCell ref="D145:F146"/>
    <mergeCell ref="G145:G146"/>
    <mergeCell ref="H145:K146"/>
    <mergeCell ref="L145:L146"/>
    <mergeCell ref="A147:C148"/>
    <mergeCell ref="D147:F148"/>
    <mergeCell ref="G147:G148"/>
    <mergeCell ref="H147:K148"/>
    <mergeCell ref="L147:L148"/>
    <mergeCell ref="A151:F160"/>
    <mergeCell ref="A161:F161"/>
    <mergeCell ref="A162:F162"/>
    <mergeCell ref="A163:F169"/>
    <mergeCell ref="A173:L173"/>
    <mergeCell ref="A174:L174"/>
    <mergeCell ref="A175:C175"/>
    <mergeCell ref="D175:E175"/>
    <mergeCell ref="F175:H175"/>
    <mergeCell ref="I175:J176"/>
    <mergeCell ref="K175:L176"/>
    <mergeCell ref="A176:C176"/>
    <mergeCell ref="D176:E176"/>
    <mergeCell ref="F176:H176"/>
    <mergeCell ref="A170:C170"/>
    <mergeCell ref="D170:I170"/>
    <mergeCell ref="J170:L170"/>
    <mergeCell ref="A171:C171"/>
    <mergeCell ref="D171:I171"/>
    <mergeCell ref="J171:L172"/>
    <mergeCell ref="A172:C172"/>
    <mergeCell ref="D172:I172"/>
    <mergeCell ref="A182:B183"/>
    <mergeCell ref="C182:C183"/>
    <mergeCell ref="D182:D183"/>
    <mergeCell ref="E182:G183"/>
    <mergeCell ref="J182:K182"/>
    <mergeCell ref="L182:L183"/>
    <mergeCell ref="J183:K183"/>
    <mergeCell ref="A180:B181"/>
    <mergeCell ref="C180:F180"/>
    <mergeCell ref="G180:G181"/>
    <mergeCell ref="H180:K181"/>
    <mergeCell ref="L180:L181"/>
    <mergeCell ref="C181:F181"/>
    <mergeCell ref="A177:L177"/>
    <mergeCell ref="A178:A179"/>
    <mergeCell ref="B178:B179"/>
    <mergeCell ref="C178:C179"/>
    <mergeCell ref="D178:F179"/>
    <mergeCell ref="G178:G179"/>
    <mergeCell ref="H178:J179"/>
    <mergeCell ref="K178:K179"/>
    <mergeCell ref="L178:L179"/>
    <mergeCell ref="A189:C190"/>
    <mergeCell ref="D189:F190"/>
    <mergeCell ref="G189:G190"/>
    <mergeCell ref="H189:K190"/>
    <mergeCell ref="L189:L190"/>
    <mergeCell ref="A191:C192"/>
    <mergeCell ref="D191:F192"/>
    <mergeCell ref="G191:G192"/>
    <mergeCell ref="H191:K192"/>
    <mergeCell ref="L191:L192"/>
    <mergeCell ref="A185:C186"/>
    <mergeCell ref="D185:F186"/>
    <mergeCell ref="G185:L186"/>
    <mergeCell ref="A187:C188"/>
    <mergeCell ref="D187:D188"/>
    <mergeCell ref="E187:F188"/>
    <mergeCell ref="G187:G188"/>
    <mergeCell ref="H187:K188"/>
    <mergeCell ref="L187:L188"/>
    <mergeCell ref="A214:C214"/>
    <mergeCell ref="D214:I214"/>
    <mergeCell ref="J214:L214"/>
    <mergeCell ref="A215:C215"/>
    <mergeCell ref="D215:I215"/>
    <mergeCell ref="J215:L216"/>
    <mergeCell ref="A216:C216"/>
    <mergeCell ref="D216:I216"/>
    <mergeCell ref="H203:L205"/>
    <mergeCell ref="G206:G208"/>
    <mergeCell ref="H206:L208"/>
    <mergeCell ref="G209:G211"/>
    <mergeCell ref="H209:L211"/>
    <mergeCell ref="G212:L213"/>
    <mergeCell ref="A193:F194"/>
    <mergeCell ref="G193:L194"/>
    <mergeCell ref="G195:G196"/>
    <mergeCell ref="H195:L196"/>
    <mergeCell ref="G197:G199"/>
    <mergeCell ref="H197:L199"/>
    <mergeCell ref="G200:G202"/>
    <mergeCell ref="H200:L202"/>
    <mergeCell ref="G203:G205"/>
    <mergeCell ref="A195:F204"/>
    <mergeCell ref="A205:F205"/>
    <mergeCell ref="A206:F206"/>
    <mergeCell ref="A207:F213"/>
    <mergeCell ref="A221:L221"/>
    <mergeCell ref="A222:A223"/>
    <mergeCell ref="B222:B223"/>
    <mergeCell ref="C222:C223"/>
    <mergeCell ref="D222:F223"/>
    <mergeCell ref="G222:G223"/>
    <mergeCell ref="H222:J223"/>
    <mergeCell ref="K222:K223"/>
    <mergeCell ref="L222:L223"/>
    <mergeCell ref="A217:L217"/>
    <mergeCell ref="A218:L218"/>
    <mergeCell ref="A219:C219"/>
    <mergeCell ref="D219:E219"/>
    <mergeCell ref="F219:H219"/>
    <mergeCell ref="I219:J220"/>
    <mergeCell ref="K219:L220"/>
    <mergeCell ref="A220:C220"/>
    <mergeCell ref="D220:E220"/>
    <mergeCell ref="F220:H220"/>
    <mergeCell ref="A229:C230"/>
    <mergeCell ref="D229:F230"/>
    <mergeCell ref="G229:L230"/>
    <mergeCell ref="A231:C232"/>
    <mergeCell ref="D231:D232"/>
    <mergeCell ref="E231:F232"/>
    <mergeCell ref="G231:G232"/>
    <mergeCell ref="H231:K232"/>
    <mergeCell ref="L231:L232"/>
    <mergeCell ref="A226:B227"/>
    <mergeCell ref="C226:C227"/>
    <mergeCell ref="D226:D227"/>
    <mergeCell ref="E226:G227"/>
    <mergeCell ref="J226:K226"/>
    <mergeCell ref="L226:L227"/>
    <mergeCell ref="J227:K227"/>
    <mergeCell ref="A224:B225"/>
    <mergeCell ref="C224:F224"/>
    <mergeCell ref="G224:G225"/>
    <mergeCell ref="H224:K225"/>
    <mergeCell ref="L224:L225"/>
    <mergeCell ref="C225:F225"/>
    <mergeCell ref="H247:L249"/>
    <mergeCell ref="G250:G252"/>
    <mergeCell ref="H250:L252"/>
    <mergeCell ref="G253:G255"/>
    <mergeCell ref="H253:L255"/>
    <mergeCell ref="G256:L257"/>
    <mergeCell ref="A237:F238"/>
    <mergeCell ref="G237:L238"/>
    <mergeCell ref="G239:G240"/>
    <mergeCell ref="H239:L240"/>
    <mergeCell ref="G241:G243"/>
    <mergeCell ref="H241:L243"/>
    <mergeCell ref="G244:G246"/>
    <mergeCell ref="H244:L246"/>
    <mergeCell ref="G247:G249"/>
    <mergeCell ref="A233:C234"/>
    <mergeCell ref="D233:F234"/>
    <mergeCell ref="G233:G234"/>
    <mergeCell ref="H233:K234"/>
    <mergeCell ref="L233:L234"/>
    <mergeCell ref="A235:C236"/>
    <mergeCell ref="D235:F236"/>
    <mergeCell ref="G235:G236"/>
    <mergeCell ref="H235:K236"/>
    <mergeCell ref="L235:L236"/>
    <mergeCell ref="A239:F248"/>
    <mergeCell ref="A249:F249"/>
    <mergeCell ref="A250:F250"/>
    <mergeCell ref="A251:F257"/>
    <mergeCell ref="A261:L261"/>
    <mergeCell ref="A262:L262"/>
    <mergeCell ref="A263:C263"/>
    <mergeCell ref="D263:E263"/>
    <mergeCell ref="F263:H263"/>
    <mergeCell ref="I263:J264"/>
    <mergeCell ref="K263:L264"/>
    <mergeCell ref="A264:C264"/>
    <mergeCell ref="D264:E264"/>
    <mergeCell ref="F264:H264"/>
    <mergeCell ref="A258:C258"/>
    <mergeCell ref="D258:I258"/>
    <mergeCell ref="J258:L258"/>
    <mergeCell ref="A259:C259"/>
    <mergeCell ref="D259:I259"/>
    <mergeCell ref="J259:L260"/>
    <mergeCell ref="A260:C260"/>
    <mergeCell ref="D260:I260"/>
    <mergeCell ref="A270:B271"/>
    <mergeCell ref="C270:C271"/>
    <mergeCell ref="D270:D271"/>
    <mergeCell ref="E270:G271"/>
    <mergeCell ref="J270:K270"/>
    <mergeCell ref="L270:L271"/>
    <mergeCell ref="J271:K271"/>
    <mergeCell ref="A268:B269"/>
    <mergeCell ref="C268:F268"/>
    <mergeCell ref="G268:G269"/>
    <mergeCell ref="H268:K269"/>
    <mergeCell ref="L268:L269"/>
    <mergeCell ref="C269:F269"/>
    <mergeCell ref="A265:L265"/>
    <mergeCell ref="A266:A267"/>
    <mergeCell ref="B266:B267"/>
    <mergeCell ref="C266:C267"/>
    <mergeCell ref="D266:F267"/>
    <mergeCell ref="G266:G267"/>
    <mergeCell ref="H266:J267"/>
    <mergeCell ref="K266:K267"/>
    <mergeCell ref="L266:L267"/>
    <mergeCell ref="A277:C278"/>
    <mergeCell ref="D277:F278"/>
    <mergeCell ref="G277:G278"/>
    <mergeCell ref="H277:K278"/>
    <mergeCell ref="L277:L278"/>
    <mergeCell ref="A279:C280"/>
    <mergeCell ref="D279:F280"/>
    <mergeCell ref="G279:G280"/>
    <mergeCell ref="H279:K280"/>
    <mergeCell ref="L279:L280"/>
    <mergeCell ref="A273:C274"/>
    <mergeCell ref="D273:F274"/>
    <mergeCell ref="G273:L274"/>
    <mergeCell ref="A275:C276"/>
    <mergeCell ref="D275:D276"/>
    <mergeCell ref="E275:F276"/>
    <mergeCell ref="G275:G276"/>
    <mergeCell ref="H275:K276"/>
    <mergeCell ref="L275:L276"/>
    <mergeCell ref="A302:C302"/>
    <mergeCell ref="D302:I302"/>
    <mergeCell ref="J302:L302"/>
    <mergeCell ref="A303:C303"/>
    <mergeCell ref="D303:I303"/>
    <mergeCell ref="J303:L304"/>
    <mergeCell ref="A304:C304"/>
    <mergeCell ref="D304:I304"/>
    <mergeCell ref="H291:L293"/>
    <mergeCell ref="G294:G296"/>
    <mergeCell ref="H294:L296"/>
    <mergeCell ref="G297:G299"/>
    <mergeCell ref="H297:L299"/>
    <mergeCell ref="G300:L301"/>
    <mergeCell ref="A281:F282"/>
    <mergeCell ref="G281:L282"/>
    <mergeCell ref="G283:G284"/>
    <mergeCell ref="H283:L284"/>
    <mergeCell ref="G285:G287"/>
    <mergeCell ref="H285:L287"/>
    <mergeCell ref="G288:G290"/>
    <mergeCell ref="H288:L290"/>
    <mergeCell ref="G291:G293"/>
    <mergeCell ref="A283:F292"/>
    <mergeCell ref="A293:F293"/>
    <mergeCell ref="A294:F294"/>
    <mergeCell ref="A295:F301"/>
    <mergeCell ref="A309:L309"/>
    <mergeCell ref="A310:A311"/>
    <mergeCell ref="B310:B311"/>
    <mergeCell ref="C310:C311"/>
    <mergeCell ref="D310:F311"/>
    <mergeCell ref="G310:G311"/>
    <mergeCell ref="H310:J311"/>
    <mergeCell ref="K310:K311"/>
    <mergeCell ref="L310:L311"/>
    <mergeCell ref="A305:L305"/>
    <mergeCell ref="A306:L306"/>
    <mergeCell ref="A307:C307"/>
    <mergeCell ref="D307:E307"/>
    <mergeCell ref="F307:H307"/>
    <mergeCell ref="I307:J308"/>
    <mergeCell ref="K307:L308"/>
    <mergeCell ref="A308:C308"/>
    <mergeCell ref="D308:E308"/>
    <mergeCell ref="F308:H308"/>
    <mergeCell ref="A317:C318"/>
    <mergeCell ref="D317:F318"/>
    <mergeCell ref="G317:L318"/>
    <mergeCell ref="A319:C320"/>
    <mergeCell ref="D319:D320"/>
    <mergeCell ref="E319:F320"/>
    <mergeCell ref="G319:G320"/>
    <mergeCell ref="H319:K320"/>
    <mergeCell ref="L319:L320"/>
    <mergeCell ref="A314:B315"/>
    <mergeCell ref="C314:C315"/>
    <mergeCell ref="D314:D315"/>
    <mergeCell ref="E314:G315"/>
    <mergeCell ref="J314:K314"/>
    <mergeCell ref="L314:L315"/>
    <mergeCell ref="J315:K315"/>
    <mergeCell ref="A312:B313"/>
    <mergeCell ref="C312:F312"/>
    <mergeCell ref="G312:G313"/>
    <mergeCell ref="H312:K313"/>
    <mergeCell ref="L312:L313"/>
    <mergeCell ref="C313:F313"/>
    <mergeCell ref="H335:L337"/>
    <mergeCell ref="G338:G340"/>
    <mergeCell ref="H338:L340"/>
    <mergeCell ref="G341:G343"/>
    <mergeCell ref="H341:L343"/>
    <mergeCell ref="G344:L345"/>
    <mergeCell ref="A325:F326"/>
    <mergeCell ref="G325:L326"/>
    <mergeCell ref="G327:G328"/>
    <mergeCell ref="H327:L328"/>
    <mergeCell ref="G329:G331"/>
    <mergeCell ref="H329:L331"/>
    <mergeCell ref="G332:G334"/>
    <mergeCell ref="H332:L334"/>
    <mergeCell ref="G335:G337"/>
    <mergeCell ref="A321:C322"/>
    <mergeCell ref="D321:F322"/>
    <mergeCell ref="G321:G322"/>
    <mergeCell ref="H321:K322"/>
    <mergeCell ref="L321:L322"/>
    <mergeCell ref="A323:C324"/>
    <mergeCell ref="D323:F324"/>
    <mergeCell ref="G323:G324"/>
    <mergeCell ref="H323:K324"/>
    <mergeCell ref="L323:L324"/>
    <mergeCell ref="A327:F336"/>
    <mergeCell ref="A337:F337"/>
    <mergeCell ref="A338:F338"/>
    <mergeCell ref="A339:F345"/>
    <mergeCell ref="A349:L349"/>
    <mergeCell ref="A350:L350"/>
    <mergeCell ref="A351:C351"/>
    <mergeCell ref="D351:E351"/>
    <mergeCell ref="F351:H351"/>
    <mergeCell ref="I351:J352"/>
    <mergeCell ref="K351:L352"/>
    <mergeCell ref="A352:C352"/>
    <mergeCell ref="D352:E352"/>
    <mergeCell ref="F352:H352"/>
    <mergeCell ref="A346:C346"/>
    <mergeCell ref="D346:I346"/>
    <mergeCell ref="J346:L346"/>
    <mergeCell ref="A347:C347"/>
    <mergeCell ref="D347:I347"/>
    <mergeCell ref="J347:L348"/>
    <mergeCell ref="A348:C348"/>
    <mergeCell ref="D348:I348"/>
    <mergeCell ref="A358:B359"/>
    <mergeCell ref="C358:C359"/>
    <mergeCell ref="D358:D359"/>
    <mergeCell ref="E358:G359"/>
    <mergeCell ref="J358:K358"/>
    <mergeCell ref="L358:L359"/>
    <mergeCell ref="J359:K359"/>
    <mergeCell ref="A356:B357"/>
    <mergeCell ref="C356:F356"/>
    <mergeCell ref="G356:G357"/>
    <mergeCell ref="H356:K357"/>
    <mergeCell ref="L356:L357"/>
    <mergeCell ref="C357:F357"/>
    <mergeCell ref="A353:L353"/>
    <mergeCell ref="A354:A355"/>
    <mergeCell ref="B354:B355"/>
    <mergeCell ref="C354:C355"/>
    <mergeCell ref="D354:F355"/>
    <mergeCell ref="G354:G355"/>
    <mergeCell ref="H354:J355"/>
    <mergeCell ref="K354:K355"/>
    <mergeCell ref="L354:L355"/>
    <mergeCell ref="A365:C366"/>
    <mergeCell ref="D365:F366"/>
    <mergeCell ref="G365:G366"/>
    <mergeCell ref="H365:K366"/>
    <mergeCell ref="L365:L366"/>
    <mergeCell ref="A367:C368"/>
    <mergeCell ref="D367:F368"/>
    <mergeCell ref="G367:G368"/>
    <mergeCell ref="H367:K368"/>
    <mergeCell ref="L367:L368"/>
    <mergeCell ref="A361:C362"/>
    <mergeCell ref="D361:F362"/>
    <mergeCell ref="G361:L362"/>
    <mergeCell ref="A363:C364"/>
    <mergeCell ref="D363:D364"/>
    <mergeCell ref="E363:F364"/>
    <mergeCell ref="G363:G364"/>
    <mergeCell ref="H363:K364"/>
    <mergeCell ref="L363:L364"/>
    <mergeCell ref="A390:C390"/>
    <mergeCell ref="D390:I390"/>
    <mergeCell ref="J390:L390"/>
    <mergeCell ref="A391:C391"/>
    <mergeCell ref="D391:I391"/>
    <mergeCell ref="J391:L392"/>
    <mergeCell ref="A392:C392"/>
    <mergeCell ref="D392:I392"/>
    <mergeCell ref="H379:L381"/>
    <mergeCell ref="G382:G384"/>
    <mergeCell ref="H382:L384"/>
    <mergeCell ref="G385:G387"/>
    <mergeCell ref="H385:L387"/>
    <mergeCell ref="G388:L389"/>
    <mergeCell ref="A369:F370"/>
    <mergeCell ref="G369:L370"/>
    <mergeCell ref="G371:G372"/>
    <mergeCell ref="H371:L372"/>
    <mergeCell ref="G373:G375"/>
    <mergeCell ref="H373:L375"/>
    <mergeCell ref="G376:G378"/>
    <mergeCell ref="H376:L378"/>
    <mergeCell ref="G379:G381"/>
    <mergeCell ref="A371:F380"/>
    <mergeCell ref="A381:F381"/>
    <mergeCell ref="A382:F382"/>
    <mergeCell ref="A383:F389"/>
    <mergeCell ref="A397:L397"/>
    <mergeCell ref="A398:A399"/>
    <mergeCell ref="B398:B399"/>
    <mergeCell ref="C398:C399"/>
    <mergeCell ref="D398:F399"/>
    <mergeCell ref="G398:G399"/>
    <mergeCell ref="H398:J399"/>
    <mergeCell ref="K398:K399"/>
    <mergeCell ref="L398:L399"/>
    <mergeCell ref="A393:L393"/>
    <mergeCell ref="A394:L394"/>
    <mergeCell ref="A395:C395"/>
    <mergeCell ref="D395:E395"/>
    <mergeCell ref="F395:H395"/>
    <mergeCell ref="I395:J396"/>
    <mergeCell ref="K395:L396"/>
    <mergeCell ref="A396:C396"/>
    <mergeCell ref="D396:E396"/>
    <mergeCell ref="F396:H396"/>
    <mergeCell ref="A405:C406"/>
    <mergeCell ref="D405:F406"/>
    <mergeCell ref="G405:L406"/>
    <mergeCell ref="A407:C408"/>
    <mergeCell ref="D407:D408"/>
    <mergeCell ref="E407:F408"/>
    <mergeCell ref="G407:G408"/>
    <mergeCell ref="H407:K408"/>
    <mergeCell ref="L407:L408"/>
    <mergeCell ref="A402:B403"/>
    <mergeCell ref="C402:C403"/>
    <mergeCell ref="D402:D403"/>
    <mergeCell ref="E402:G403"/>
    <mergeCell ref="J402:K402"/>
    <mergeCell ref="L402:L403"/>
    <mergeCell ref="J403:K403"/>
    <mergeCell ref="A400:B401"/>
    <mergeCell ref="C400:F400"/>
    <mergeCell ref="G400:G401"/>
    <mergeCell ref="H400:K401"/>
    <mergeCell ref="L400:L401"/>
    <mergeCell ref="C401:F401"/>
    <mergeCell ref="H423:L425"/>
    <mergeCell ref="G426:G428"/>
    <mergeCell ref="H426:L428"/>
    <mergeCell ref="G429:G431"/>
    <mergeCell ref="H429:L431"/>
    <mergeCell ref="G432:L433"/>
    <mergeCell ref="A413:F414"/>
    <mergeCell ref="G413:L414"/>
    <mergeCell ref="G415:G416"/>
    <mergeCell ref="H415:L416"/>
    <mergeCell ref="G417:G419"/>
    <mergeCell ref="H417:L419"/>
    <mergeCell ref="G420:G422"/>
    <mergeCell ref="H420:L422"/>
    <mergeCell ref="G423:G425"/>
    <mergeCell ref="A409:C410"/>
    <mergeCell ref="D409:F410"/>
    <mergeCell ref="G409:G410"/>
    <mergeCell ref="H409:K410"/>
    <mergeCell ref="L409:L410"/>
    <mergeCell ref="A411:C412"/>
    <mergeCell ref="D411:F412"/>
    <mergeCell ref="G411:G412"/>
    <mergeCell ref="H411:K412"/>
    <mergeCell ref="L411:L412"/>
    <mergeCell ref="A415:F424"/>
    <mergeCell ref="A425:F425"/>
    <mergeCell ref="A426:F426"/>
    <mergeCell ref="A427:F433"/>
    <mergeCell ref="A437:L437"/>
    <mergeCell ref="A438:L438"/>
    <mergeCell ref="A439:C439"/>
    <mergeCell ref="D439:E439"/>
    <mergeCell ref="F439:H439"/>
    <mergeCell ref="I439:J440"/>
    <mergeCell ref="K439:L440"/>
    <mergeCell ref="A440:C440"/>
    <mergeCell ref="D440:E440"/>
    <mergeCell ref="F440:H440"/>
    <mergeCell ref="A434:C434"/>
    <mergeCell ref="D434:I434"/>
    <mergeCell ref="J434:L434"/>
    <mergeCell ref="A435:C435"/>
    <mergeCell ref="D435:I435"/>
    <mergeCell ref="J435:L436"/>
    <mergeCell ref="A436:C436"/>
    <mergeCell ref="D436:I436"/>
    <mergeCell ref="A446:B447"/>
    <mergeCell ref="C446:C447"/>
    <mergeCell ref="D446:D447"/>
    <mergeCell ref="E446:G447"/>
    <mergeCell ref="J446:K446"/>
    <mergeCell ref="L446:L447"/>
    <mergeCell ref="J447:K447"/>
    <mergeCell ref="A444:B445"/>
    <mergeCell ref="C444:F444"/>
    <mergeCell ref="G444:G445"/>
    <mergeCell ref="H444:K445"/>
    <mergeCell ref="L444:L445"/>
    <mergeCell ref="C445:F445"/>
    <mergeCell ref="A441:L441"/>
    <mergeCell ref="A442:A443"/>
    <mergeCell ref="B442:B443"/>
    <mergeCell ref="C442:C443"/>
    <mergeCell ref="D442:F443"/>
    <mergeCell ref="G442:G443"/>
    <mergeCell ref="H442:J443"/>
    <mergeCell ref="K442:K443"/>
    <mergeCell ref="L442:L443"/>
    <mergeCell ref="A453:C454"/>
    <mergeCell ref="D453:F454"/>
    <mergeCell ref="G453:G454"/>
    <mergeCell ref="H453:K454"/>
    <mergeCell ref="L453:L454"/>
    <mergeCell ref="A455:C456"/>
    <mergeCell ref="D455:F456"/>
    <mergeCell ref="G455:G456"/>
    <mergeCell ref="H455:K456"/>
    <mergeCell ref="L455:L456"/>
    <mergeCell ref="A449:C450"/>
    <mergeCell ref="D449:F450"/>
    <mergeCell ref="G449:L450"/>
    <mergeCell ref="A451:C452"/>
    <mergeCell ref="D451:D452"/>
    <mergeCell ref="E451:F452"/>
    <mergeCell ref="G451:G452"/>
    <mergeCell ref="H451:K452"/>
    <mergeCell ref="L451:L452"/>
    <mergeCell ref="A478:C478"/>
    <mergeCell ref="D478:I478"/>
    <mergeCell ref="J478:L478"/>
    <mergeCell ref="A479:C479"/>
    <mergeCell ref="D479:I479"/>
    <mergeCell ref="J479:L480"/>
    <mergeCell ref="A480:C480"/>
    <mergeCell ref="D480:I480"/>
    <mergeCell ref="H467:L469"/>
    <mergeCell ref="G470:G472"/>
    <mergeCell ref="H470:L472"/>
    <mergeCell ref="G473:G475"/>
    <mergeCell ref="H473:L475"/>
    <mergeCell ref="G476:L477"/>
    <mergeCell ref="A457:F458"/>
    <mergeCell ref="G457:L458"/>
    <mergeCell ref="G459:G460"/>
    <mergeCell ref="H459:L460"/>
    <mergeCell ref="G461:G463"/>
    <mergeCell ref="H461:L463"/>
    <mergeCell ref="G464:G466"/>
    <mergeCell ref="H464:L466"/>
    <mergeCell ref="G467:G469"/>
    <mergeCell ref="A459:F468"/>
    <mergeCell ref="A469:F469"/>
    <mergeCell ref="A470:F470"/>
    <mergeCell ref="A471:F477"/>
    <mergeCell ref="A485:L485"/>
    <mergeCell ref="A486:A487"/>
    <mergeCell ref="B486:B487"/>
    <mergeCell ref="C486:C487"/>
    <mergeCell ref="D486:F487"/>
    <mergeCell ref="G486:G487"/>
    <mergeCell ref="H486:J487"/>
    <mergeCell ref="K486:K487"/>
    <mergeCell ref="L486:L487"/>
    <mergeCell ref="A481:L481"/>
    <mergeCell ref="A482:L482"/>
    <mergeCell ref="A483:C483"/>
    <mergeCell ref="D483:E483"/>
    <mergeCell ref="F483:H483"/>
    <mergeCell ref="I483:J484"/>
    <mergeCell ref="K483:L484"/>
    <mergeCell ref="A484:C484"/>
    <mergeCell ref="D484:E484"/>
    <mergeCell ref="F484:H484"/>
    <mergeCell ref="A493:C494"/>
    <mergeCell ref="D493:F494"/>
    <mergeCell ref="G493:L494"/>
    <mergeCell ref="A495:C496"/>
    <mergeCell ref="D495:D496"/>
    <mergeCell ref="E495:F496"/>
    <mergeCell ref="G495:G496"/>
    <mergeCell ref="H495:K496"/>
    <mergeCell ref="L495:L496"/>
    <mergeCell ref="A490:B491"/>
    <mergeCell ref="C490:C491"/>
    <mergeCell ref="D490:D491"/>
    <mergeCell ref="E490:G491"/>
    <mergeCell ref="J490:K490"/>
    <mergeCell ref="L490:L491"/>
    <mergeCell ref="J491:K491"/>
    <mergeCell ref="A488:B489"/>
    <mergeCell ref="C488:F488"/>
    <mergeCell ref="G488:G489"/>
    <mergeCell ref="H488:K489"/>
    <mergeCell ref="L488:L489"/>
    <mergeCell ref="C489:F489"/>
    <mergeCell ref="H511:L513"/>
    <mergeCell ref="G514:G516"/>
    <mergeCell ref="H514:L516"/>
    <mergeCell ref="G517:G519"/>
    <mergeCell ref="H517:L519"/>
    <mergeCell ref="G520:L521"/>
    <mergeCell ref="A501:F502"/>
    <mergeCell ref="G501:L502"/>
    <mergeCell ref="G503:G504"/>
    <mergeCell ref="H503:L504"/>
    <mergeCell ref="G505:G507"/>
    <mergeCell ref="H505:L507"/>
    <mergeCell ref="G508:G510"/>
    <mergeCell ref="H508:L510"/>
    <mergeCell ref="G511:G513"/>
    <mergeCell ref="A497:C498"/>
    <mergeCell ref="D497:F498"/>
    <mergeCell ref="G497:G498"/>
    <mergeCell ref="H497:K498"/>
    <mergeCell ref="L497:L498"/>
    <mergeCell ref="A499:C500"/>
    <mergeCell ref="D499:F500"/>
    <mergeCell ref="G499:G500"/>
    <mergeCell ref="H499:K500"/>
    <mergeCell ref="L499:L500"/>
    <mergeCell ref="A503:F512"/>
    <mergeCell ref="A513:F513"/>
    <mergeCell ref="A514:F514"/>
    <mergeCell ref="A515:F521"/>
    <mergeCell ref="A525:L525"/>
    <mergeCell ref="A526:L526"/>
    <mergeCell ref="A527:C527"/>
    <mergeCell ref="D527:E527"/>
    <mergeCell ref="F527:H527"/>
    <mergeCell ref="I527:J528"/>
    <mergeCell ref="K527:L528"/>
    <mergeCell ref="A528:C528"/>
    <mergeCell ref="D528:E528"/>
    <mergeCell ref="F528:H528"/>
    <mergeCell ref="A522:C522"/>
    <mergeCell ref="D522:I522"/>
    <mergeCell ref="J522:L522"/>
    <mergeCell ref="A523:C523"/>
    <mergeCell ref="D523:I523"/>
    <mergeCell ref="J523:L524"/>
    <mergeCell ref="A524:C524"/>
    <mergeCell ref="D524:I524"/>
    <mergeCell ref="A534:B535"/>
    <mergeCell ref="C534:C535"/>
    <mergeCell ref="D534:D535"/>
    <mergeCell ref="E534:G535"/>
    <mergeCell ref="J534:K534"/>
    <mergeCell ref="L534:L535"/>
    <mergeCell ref="J535:K535"/>
    <mergeCell ref="A532:B533"/>
    <mergeCell ref="C532:F532"/>
    <mergeCell ref="G532:G533"/>
    <mergeCell ref="H532:K533"/>
    <mergeCell ref="L532:L533"/>
    <mergeCell ref="C533:F533"/>
    <mergeCell ref="A529:L529"/>
    <mergeCell ref="A530:A531"/>
    <mergeCell ref="B530:B531"/>
    <mergeCell ref="C530:C531"/>
    <mergeCell ref="D530:F531"/>
    <mergeCell ref="G530:G531"/>
    <mergeCell ref="H530:J531"/>
    <mergeCell ref="K530:K531"/>
    <mergeCell ref="L530:L531"/>
    <mergeCell ref="A541:C542"/>
    <mergeCell ref="D541:F542"/>
    <mergeCell ref="G541:G542"/>
    <mergeCell ref="H541:K542"/>
    <mergeCell ref="L541:L542"/>
    <mergeCell ref="A543:C544"/>
    <mergeCell ref="D543:F544"/>
    <mergeCell ref="G543:G544"/>
    <mergeCell ref="H543:K544"/>
    <mergeCell ref="L543:L544"/>
    <mergeCell ref="A537:C538"/>
    <mergeCell ref="D537:F538"/>
    <mergeCell ref="G537:L538"/>
    <mergeCell ref="A539:C540"/>
    <mergeCell ref="D539:D540"/>
    <mergeCell ref="E539:F540"/>
    <mergeCell ref="G539:G540"/>
    <mergeCell ref="H539:K540"/>
    <mergeCell ref="L539:L540"/>
    <mergeCell ref="A566:C566"/>
    <mergeCell ref="D566:I566"/>
    <mergeCell ref="J566:L566"/>
    <mergeCell ref="A567:C567"/>
    <mergeCell ref="D567:I567"/>
    <mergeCell ref="J567:L568"/>
    <mergeCell ref="A568:C568"/>
    <mergeCell ref="D568:I568"/>
    <mergeCell ref="H555:L557"/>
    <mergeCell ref="G558:G560"/>
    <mergeCell ref="H558:L560"/>
    <mergeCell ref="G561:G563"/>
    <mergeCell ref="H561:L563"/>
    <mergeCell ref="G564:L565"/>
    <mergeCell ref="A545:F546"/>
    <mergeCell ref="G545:L546"/>
    <mergeCell ref="G547:G548"/>
    <mergeCell ref="H547:L548"/>
    <mergeCell ref="G549:G551"/>
    <mergeCell ref="H549:L551"/>
    <mergeCell ref="G552:G554"/>
    <mergeCell ref="H552:L554"/>
    <mergeCell ref="G555:G557"/>
    <mergeCell ref="A547:F556"/>
    <mergeCell ref="A557:F557"/>
    <mergeCell ref="A558:F558"/>
    <mergeCell ref="A559:F565"/>
    <mergeCell ref="A573:L573"/>
    <mergeCell ref="A574:A575"/>
    <mergeCell ref="B574:B575"/>
    <mergeCell ref="C574:C575"/>
    <mergeCell ref="D574:F575"/>
    <mergeCell ref="G574:G575"/>
    <mergeCell ref="H574:J575"/>
    <mergeCell ref="K574:K575"/>
    <mergeCell ref="L574:L575"/>
    <mergeCell ref="A569:L569"/>
    <mergeCell ref="A570:L570"/>
    <mergeCell ref="A571:C571"/>
    <mergeCell ref="D571:E571"/>
    <mergeCell ref="F571:H571"/>
    <mergeCell ref="I571:J572"/>
    <mergeCell ref="K571:L572"/>
    <mergeCell ref="A572:C572"/>
    <mergeCell ref="D572:E572"/>
    <mergeCell ref="F572:H572"/>
    <mergeCell ref="A581:C582"/>
    <mergeCell ref="D581:F582"/>
    <mergeCell ref="G581:L582"/>
    <mergeCell ref="A583:C584"/>
    <mergeCell ref="D583:D584"/>
    <mergeCell ref="E583:F584"/>
    <mergeCell ref="G583:G584"/>
    <mergeCell ref="H583:K584"/>
    <mergeCell ref="L583:L584"/>
    <mergeCell ref="A578:B579"/>
    <mergeCell ref="C578:C579"/>
    <mergeCell ref="D578:D579"/>
    <mergeCell ref="E578:G579"/>
    <mergeCell ref="J578:K578"/>
    <mergeCell ref="L578:L579"/>
    <mergeCell ref="J579:K579"/>
    <mergeCell ref="A576:B577"/>
    <mergeCell ref="C576:F576"/>
    <mergeCell ref="G576:G577"/>
    <mergeCell ref="H576:K577"/>
    <mergeCell ref="L576:L577"/>
    <mergeCell ref="C577:F577"/>
    <mergeCell ref="H599:L601"/>
    <mergeCell ref="G602:G604"/>
    <mergeCell ref="H602:L604"/>
    <mergeCell ref="G605:G607"/>
    <mergeCell ref="H605:L607"/>
    <mergeCell ref="G608:L609"/>
    <mergeCell ref="A589:F590"/>
    <mergeCell ref="G589:L590"/>
    <mergeCell ref="G591:G592"/>
    <mergeCell ref="H591:L592"/>
    <mergeCell ref="G593:G595"/>
    <mergeCell ref="H593:L595"/>
    <mergeCell ref="G596:G598"/>
    <mergeCell ref="H596:L598"/>
    <mergeCell ref="G599:G601"/>
    <mergeCell ref="A585:C586"/>
    <mergeCell ref="D585:F586"/>
    <mergeCell ref="G585:G586"/>
    <mergeCell ref="H585:K586"/>
    <mergeCell ref="L585:L586"/>
    <mergeCell ref="A587:C588"/>
    <mergeCell ref="D587:F588"/>
    <mergeCell ref="G587:G588"/>
    <mergeCell ref="H587:K588"/>
    <mergeCell ref="L587:L588"/>
    <mergeCell ref="A591:F600"/>
    <mergeCell ref="A601:F601"/>
    <mergeCell ref="A602:F602"/>
    <mergeCell ref="A603:F609"/>
    <mergeCell ref="A613:L613"/>
    <mergeCell ref="A614:L614"/>
    <mergeCell ref="A615:C615"/>
    <mergeCell ref="D615:E615"/>
    <mergeCell ref="F615:H615"/>
    <mergeCell ref="I615:J616"/>
    <mergeCell ref="K615:L616"/>
    <mergeCell ref="A616:C616"/>
    <mergeCell ref="D616:E616"/>
    <mergeCell ref="F616:H616"/>
    <mergeCell ref="A610:C610"/>
    <mergeCell ref="D610:I610"/>
    <mergeCell ref="J610:L610"/>
    <mergeCell ref="A611:C611"/>
    <mergeCell ref="D611:I611"/>
    <mergeCell ref="J611:L612"/>
    <mergeCell ref="A612:C612"/>
    <mergeCell ref="D612:I612"/>
    <mergeCell ref="A622:B623"/>
    <mergeCell ref="C622:C623"/>
    <mergeCell ref="D622:D623"/>
    <mergeCell ref="E622:G623"/>
    <mergeCell ref="J622:K622"/>
    <mergeCell ref="L622:L623"/>
    <mergeCell ref="J623:K623"/>
    <mergeCell ref="A620:B621"/>
    <mergeCell ref="C620:F620"/>
    <mergeCell ref="G620:G621"/>
    <mergeCell ref="H620:K621"/>
    <mergeCell ref="L620:L621"/>
    <mergeCell ref="C621:F621"/>
    <mergeCell ref="A617:L617"/>
    <mergeCell ref="A618:A619"/>
    <mergeCell ref="B618:B619"/>
    <mergeCell ref="C618:C619"/>
    <mergeCell ref="D618:F619"/>
    <mergeCell ref="G618:G619"/>
    <mergeCell ref="H618:J619"/>
    <mergeCell ref="K618:K619"/>
    <mergeCell ref="L618:L619"/>
    <mergeCell ref="A629:C630"/>
    <mergeCell ref="D629:F630"/>
    <mergeCell ref="G629:G630"/>
    <mergeCell ref="H629:K630"/>
    <mergeCell ref="L629:L630"/>
    <mergeCell ref="A631:C632"/>
    <mergeCell ref="D631:F632"/>
    <mergeCell ref="G631:G632"/>
    <mergeCell ref="H631:K632"/>
    <mergeCell ref="L631:L632"/>
    <mergeCell ref="A625:C626"/>
    <mergeCell ref="D625:F626"/>
    <mergeCell ref="G625:L626"/>
    <mergeCell ref="A627:C628"/>
    <mergeCell ref="D627:D628"/>
    <mergeCell ref="E627:F628"/>
    <mergeCell ref="G627:G628"/>
    <mergeCell ref="H627:K628"/>
    <mergeCell ref="L627:L628"/>
    <mergeCell ref="A654:C654"/>
    <mergeCell ref="D654:I654"/>
    <mergeCell ref="J654:L654"/>
    <mergeCell ref="A655:C655"/>
    <mergeCell ref="D655:I655"/>
    <mergeCell ref="J655:L656"/>
    <mergeCell ref="A656:C656"/>
    <mergeCell ref="D656:I656"/>
    <mergeCell ref="H643:L645"/>
    <mergeCell ref="G646:G648"/>
    <mergeCell ref="H646:L648"/>
    <mergeCell ref="G649:G651"/>
    <mergeCell ref="H649:L651"/>
    <mergeCell ref="G652:L653"/>
    <mergeCell ref="A633:F634"/>
    <mergeCell ref="G633:L634"/>
    <mergeCell ref="G635:G636"/>
    <mergeCell ref="H635:L636"/>
    <mergeCell ref="G637:G639"/>
    <mergeCell ref="H637:L639"/>
    <mergeCell ref="G640:G642"/>
    <mergeCell ref="H640:L642"/>
    <mergeCell ref="G643:G645"/>
    <mergeCell ref="A635:F644"/>
    <mergeCell ref="A645:F645"/>
    <mergeCell ref="A646:F646"/>
    <mergeCell ref="A647:F653"/>
    <mergeCell ref="A661:L661"/>
    <mergeCell ref="A662:A663"/>
    <mergeCell ref="B662:B663"/>
    <mergeCell ref="C662:C663"/>
    <mergeCell ref="D662:F663"/>
    <mergeCell ref="G662:G663"/>
    <mergeCell ref="H662:J663"/>
    <mergeCell ref="K662:K663"/>
    <mergeCell ref="L662:L663"/>
    <mergeCell ref="A657:L657"/>
    <mergeCell ref="A658:L658"/>
    <mergeCell ref="A659:C659"/>
    <mergeCell ref="D659:E659"/>
    <mergeCell ref="F659:H659"/>
    <mergeCell ref="I659:J660"/>
    <mergeCell ref="K659:L660"/>
    <mergeCell ref="A660:C660"/>
    <mergeCell ref="D660:E660"/>
    <mergeCell ref="F660:H660"/>
    <mergeCell ref="A669:C670"/>
    <mergeCell ref="D669:F670"/>
    <mergeCell ref="G669:L670"/>
    <mergeCell ref="A671:C672"/>
    <mergeCell ref="D671:D672"/>
    <mergeCell ref="E671:F672"/>
    <mergeCell ref="G671:G672"/>
    <mergeCell ref="H671:K672"/>
    <mergeCell ref="L671:L672"/>
    <mergeCell ref="A666:B667"/>
    <mergeCell ref="C666:C667"/>
    <mergeCell ref="D666:D667"/>
    <mergeCell ref="E666:G667"/>
    <mergeCell ref="J666:K666"/>
    <mergeCell ref="L666:L667"/>
    <mergeCell ref="J667:K667"/>
    <mergeCell ref="A664:B665"/>
    <mergeCell ref="C664:F664"/>
    <mergeCell ref="G664:G665"/>
    <mergeCell ref="H664:K665"/>
    <mergeCell ref="L664:L665"/>
    <mergeCell ref="C665:F665"/>
    <mergeCell ref="H687:L689"/>
    <mergeCell ref="G690:G692"/>
    <mergeCell ref="H690:L692"/>
    <mergeCell ref="G693:G695"/>
    <mergeCell ref="H693:L695"/>
    <mergeCell ref="G696:L697"/>
    <mergeCell ref="A677:F678"/>
    <mergeCell ref="G677:L678"/>
    <mergeCell ref="G679:G680"/>
    <mergeCell ref="H679:L680"/>
    <mergeCell ref="G681:G683"/>
    <mergeCell ref="H681:L683"/>
    <mergeCell ref="G684:G686"/>
    <mergeCell ref="H684:L686"/>
    <mergeCell ref="G687:G689"/>
    <mergeCell ref="A673:C674"/>
    <mergeCell ref="D673:F674"/>
    <mergeCell ref="G673:G674"/>
    <mergeCell ref="H673:K674"/>
    <mergeCell ref="L673:L674"/>
    <mergeCell ref="A675:C676"/>
    <mergeCell ref="D675:F676"/>
    <mergeCell ref="G675:G676"/>
    <mergeCell ref="H675:K676"/>
    <mergeCell ref="L675:L676"/>
    <mergeCell ref="A679:F688"/>
    <mergeCell ref="A689:F689"/>
    <mergeCell ref="A690:F690"/>
    <mergeCell ref="A691:F697"/>
    <mergeCell ref="A701:L701"/>
    <mergeCell ref="A702:L702"/>
    <mergeCell ref="A703:C703"/>
    <mergeCell ref="D703:E703"/>
    <mergeCell ref="F703:H703"/>
    <mergeCell ref="I703:J704"/>
    <mergeCell ref="K703:L704"/>
    <mergeCell ref="A704:C704"/>
    <mergeCell ref="D704:E704"/>
    <mergeCell ref="F704:H704"/>
    <mergeCell ref="A698:C698"/>
    <mergeCell ref="D698:I698"/>
    <mergeCell ref="J698:L698"/>
    <mergeCell ref="A699:C699"/>
    <mergeCell ref="D699:I699"/>
    <mergeCell ref="J699:L700"/>
    <mergeCell ref="A700:C700"/>
    <mergeCell ref="D700:I700"/>
    <mergeCell ref="A710:B711"/>
    <mergeCell ref="C710:C711"/>
    <mergeCell ref="D710:D711"/>
    <mergeCell ref="E710:G711"/>
    <mergeCell ref="J710:K710"/>
    <mergeCell ref="L710:L711"/>
    <mergeCell ref="J711:K711"/>
    <mergeCell ref="A708:B709"/>
    <mergeCell ref="C708:F708"/>
    <mergeCell ref="G708:G709"/>
    <mergeCell ref="H708:K709"/>
    <mergeCell ref="L708:L709"/>
    <mergeCell ref="C709:F709"/>
    <mergeCell ref="A705:L705"/>
    <mergeCell ref="A706:A707"/>
    <mergeCell ref="B706:B707"/>
    <mergeCell ref="C706:C707"/>
    <mergeCell ref="D706:F707"/>
    <mergeCell ref="G706:G707"/>
    <mergeCell ref="H706:J707"/>
    <mergeCell ref="K706:K707"/>
    <mergeCell ref="L706:L707"/>
    <mergeCell ref="A717:C718"/>
    <mergeCell ref="D717:F718"/>
    <mergeCell ref="G717:G718"/>
    <mergeCell ref="H717:K718"/>
    <mergeCell ref="L717:L718"/>
    <mergeCell ref="A719:C720"/>
    <mergeCell ref="D719:F720"/>
    <mergeCell ref="G719:G720"/>
    <mergeCell ref="H719:K720"/>
    <mergeCell ref="L719:L720"/>
    <mergeCell ref="A713:C714"/>
    <mergeCell ref="D713:F714"/>
    <mergeCell ref="G713:L714"/>
    <mergeCell ref="A715:C716"/>
    <mergeCell ref="D715:D716"/>
    <mergeCell ref="E715:F716"/>
    <mergeCell ref="G715:G716"/>
    <mergeCell ref="H715:K716"/>
    <mergeCell ref="L715:L716"/>
    <mergeCell ref="A742:C742"/>
    <mergeCell ref="D742:I742"/>
    <mergeCell ref="J742:L742"/>
    <mergeCell ref="A743:C743"/>
    <mergeCell ref="D743:I743"/>
    <mergeCell ref="J743:L744"/>
    <mergeCell ref="A744:C744"/>
    <mergeCell ref="D744:I744"/>
    <mergeCell ref="H731:L733"/>
    <mergeCell ref="G734:G736"/>
    <mergeCell ref="H734:L736"/>
    <mergeCell ref="G737:G739"/>
    <mergeCell ref="H737:L739"/>
    <mergeCell ref="G740:L741"/>
    <mergeCell ref="A721:F722"/>
    <mergeCell ref="G721:L722"/>
    <mergeCell ref="G723:G724"/>
    <mergeCell ref="H723:L724"/>
    <mergeCell ref="G725:G727"/>
    <mergeCell ref="H725:L727"/>
    <mergeCell ref="G728:G730"/>
    <mergeCell ref="H728:L730"/>
    <mergeCell ref="G731:G733"/>
    <mergeCell ref="A723:F732"/>
    <mergeCell ref="A733:F733"/>
    <mergeCell ref="A734:F734"/>
    <mergeCell ref="A735:F741"/>
    <mergeCell ref="A749:L749"/>
    <mergeCell ref="A750:A751"/>
    <mergeCell ref="B750:B751"/>
    <mergeCell ref="C750:C751"/>
    <mergeCell ref="D750:F751"/>
    <mergeCell ref="G750:G751"/>
    <mergeCell ref="H750:J751"/>
    <mergeCell ref="K750:K751"/>
    <mergeCell ref="L750:L751"/>
    <mergeCell ref="A745:L745"/>
    <mergeCell ref="A746:L746"/>
    <mergeCell ref="A747:C747"/>
    <mergeCell ref="D747:E747"/>
    <mergeCell ref="F747:H747"/>
    <mergeCell ref="I747:J748"/>
    <mergeCell ref="K747:L748"/>
    <mergeCell ref="A748:C748"/>
    <mergeCell ref="D748:E748"/>
    <mergeCell ref="F748:H748"/>
    <mergeCell ref="A757:C758"/>
    <mergeCell ref="D757:F758"/>
    <mergeCell ref="G757:L758"/>
    <mergeCell ref="A759:C760"/>
    <mergeCell ref="D759:D760"/>
    <mergeCell ref="E759:F760"/>
    <mergeCell ref="G759:G760"/>
    <mergeCell ref="H759:K760"/>
    <mergeCell ref="L759:L760"/>
    <mergeCell ref="A754:B755"/>
    <mergeCell ref="C754:C755"/>
    <mergeCell ref="D754:D755"/>
    <mergeCell ref="E754:G755"/>
    <mergeCell ref="J754:K754"/>
    <mergeCell ref="L754:L755"/>
    <mergeCell ref="J755:K755"/>
    <mergeCell ref="A752:B753"/>
    <mergeCell ref="C752:F752"/>
    <mergeCell ref="G752:G753"/>
    <mergeCell ref="H752:K753"/>
    <mergeCell ref="L752:L753"/>
    <mergeCell ref="C753:F753"/>
    <mergeCell ref="H775:L777"/>
    <mergeCell ref="G778:G780"/>
    <mergeCell ref="H778:L780"/>
    <mergeCell ref="G781:G783"/>
    <mergeCell ref="H781:L783"/>
    <mergeCell ref="G784:L785"/>
    <mergeCell ref="A765:F766"/>
    <mergeCell ref="G765:L766"/>
    <mergeCell ref="G767:G768"/>
    <mergeCell ref="H767:L768"/>
    <mergeCell ref="G769:G771"/>
    <mergeCell ref="H769:L771"/>
    <mergeCell ref="G772:G774"/>
    <mergeCell ref="H772:L774"/>
    <mergeCell ref="G775:G777"/>
    <mergeCell ref="A761:C762"/>
    <mergeCell ref="D761:F762"/>
    <mergeCell ref="G761:G762"/>
    <mergeCell ref="H761:K762"/>
    <mergeCell ref="L761:L762"/>
    <mergeCell ref="A763:C764"/>
    <mergeCell ref="D763:F764"/>
    <mergeCell ref="G763:G764"/>
    <mergeCell ref="H763:K764"/>
    <mergeCell ref="L763:L764"/>
    <mergeCell ref="A767:F776"/>
    <mergeCell ref="A777:F777"/>
    <mergeCell ref="A778:F778"/>
    <mergeCell ref="A779:F785"/>
    <mergeCell ref="A789:L789"/>
    <mergeCell ref="A790:L790"/>
    <mergeCell ref="A791:C791"/>
    <mergeCell ref="D791:E791"/>
    <mergeCell ref="F791:H791"/>
    <mergeCell ref="I791:J792"/>
    <mergeCell ref="K791:L792"/>
    <mergeCell ref="A792:C792"/>
    <mergeCell ref="D792:E792"/>
    <mergeCell ref="F792:H792"/>
    <mergeCell ref="A786:C786"/>
    <mergeCell ref="D786:I786"/>
    <mergeCell ref="J786:L786"/>
    <mergeCell ref="A787:C787"/>
    <mergeCell ref="D787:I787"/>
    <mergeCell ref="J787:L788"/>
    <mergeCell ref="A788:C788"/>
    <mergeCell ref="D788:I788"/>
    <mergeCell ref="A798:B799"/>
    <mergeCell ref="C798:C799"/>
    <mergeCell ref="D798:D799"/>
    <mergeCell ref="E798:G799"/>
    <mergeCell ref="J798:K798"/>
    <mergeCell ref="L798:L799"/>
    <mergeCell ref="J799:K799"/>
    <mergeCell ref="A796:B797"/>
    <mergeCell ref="C796:F796"/>
    <mergeCell ref="G796:G797"/>
    <mergeCell ref="H796:K797"/>
    <mergeCell ref="L796:L797"/>
    <mergeCell ref="C797:F797"/>
    <mergeCell ref="A793:L793"/>
    <mergeCell ref="A794:A795"/>
    <mergeCell ref="B794:B795"/>
    <mergeCell ref="C794:C795"/>
    <mergeCell ref="D794:F795"/>
    <mergeCell ref="G794:G795"/>
    <mergeCell ref="H794:J795"/>
    <mergeCell ref="K794:K795"/>
    <mergeCell ref="L794:L795"/>
    <mergeCell ref="A805:C806"/>
    <mergeCell ref="D805:F806"/>
    <mergeCell ref="G805:G806"/>
    <mergeCell ref="H805:K806"/>
    <mergeCell ref="L805:L806"/>
    <mergeCell ref="A807:C808"/>
    <mergeCell ref="D807:F808"/>
    <mergeCell ref="G807:G808"/>
    <mergeCell ref="H807:K808"/>
    <mergeCell ref="L807:L808"/>
    <mergeCell ref="A801:C802"/>
    <mergeCell ref="D801:F802"/>
    <mergeCell ref="G801:L802"/>
    <mergeCell ref="A803:C804"/>
    <mergeCell ref="D803:D804"/>
    <mergeCell ref="E803:F804"/>
    <mergeCell ref="G803:G804"/>
    <mergeCell ref="H803:K804"/>
    <mergeCell ref="L803:L804"/>
    <mergeCell ref="A830:C830"/>
    <mergeCell ref="D830:I830"/>
    <mergeCell ref="J830:L830"/>
    <mergeCell ref="A831:C831"/>
    <mergeCell ref="D831:I831"/>
    <mergeCell ref="J831:L832"/>
    <mergeCell ref="A832:C832"/>
    <mergeCell ref="D832:I832"/>
    <mergeCell ref="H819:L821"/>
    <mergeCell ref="G822:G824"/>
    <mergeCell ref="H822:L824"/>
    <mergeCell ref="G825:G827"/>
    <mergeCell ref="H825:L827"/>
    <mergeCell ref="G828:L829"/>
    <mergeCell ref="A809:F810"/>
    <mergeCell ref="G809:L810"/>
    <mergeCell ref="G811:G812"/>
    <mergeCell ref="H811:L812"/>
    <mergeCell ref="G813:G815"/>
    <mergeCell ref="H813:L815"/>
    <mergeCell ref="G816:G818"/>
    <mergeCell ref="H816:L818"/>
    <mergeCell ref="G819:G821"/>
    <mergeCell ref="A811:F820"/>
    <mergeCell ref="A821:F821"/>
    <mergeCell ref="A822:F822"/>
    <mergeCell ref="A823:F829"/>
    <mergeCell ref="A837:L837"/>
    <mergeCell ref="A838:A839"/>
    <mergeCell ref="B838:B839"/>
    <mergeCell ref="C838:C839"/>
    <mergeCell ref="D838:F839"/>
    <mergeCell ref="G838:G839"/>
    <mergeCell ref="H838:J839"/>
    <mergeCell ref="K838:K839"/>
    <mergeCell ref="L838:L839"/>
    <mergeCell ref="A833:L833"/>
    <mergeCell ref="A834:L834"/>
    <mergeCell ref="A835:C835"/>
    <mergeCell ref="D835:E835"/>
    <mergeCell ref="F835:H835"/>
    <mergeCell ref="I835:J836"/>
    <mergeCell ref="K835:L836"/>
    <mergeCell ref="A836:C836"/>
    <mergeCell ref="D836:E836"/>
    <mergeCell ref="F836:H836"/>
    <mergeCell ref="A845:C846"/>
    <mergeCell ref="D845:F846"/>
    <mergeCell ref="G845:L846"/>
    <mergeCell ref="A847:C848"/>
    <mergeCell ref="D847:D848"/>
    <mergeCell ref="E847:F848"/>
    <mergeCell ref="G847:G848"/>
    <mergeCell ref="H847:K848"/>
    <mergeCell ref="L847:L848"/>
    <mergeCell ref="A842:B843"/>
    <mergeCell ref="C842:C843"/>
    <mergeCell ref="D842:D843"/>
    <mergeCell ref="E842:G843"/>
    <mergeCell ref="J842:K842"/>
    <mergeCell ref="L842:L843"/>
    <mergeCell ref="J843:K843"/>
    <mergeCell ref="A840:B841"/>
    <mergeCell ref="C840:F840"/>
    <mergeCell ref="G840:G841"/>
    <mergeCell ref="H840:K841"/>
    <mergeCell ref="L840:L841"/>
    <mergeCell ref="C841:F841"/>
    <mergeCell ref="H863:L865"/>
    <mergeCell ref="G866:G868"/>
    <mergeCell ref="H866:L868"/>
    <mergeCell ref="G869:G871"/>
    <mergeCell ref="H869:L871"/>
    <mergeCell ref="G872:L873"/>
    <mergeCell ref="A853:F854"/>
    <mergeCell ref="G853:L854"/>
    <mergeCell ref="G855:G856"/>
    <mergeCell ref="H855:L856"/>
    <mergeCell ref="G857:G859"/>
    <mergeCell ref="H857:L859"/>
    <mergeCell ref="G860:G862"/>
    <mergeCell ref="H860:L862"/>
    <mergeCell ref="G863:G865"/>
    <mergeCell ref="A849:C850"/>
    <mergeCell ref="D849:F850"/>
    <mergeCell ref="G849:G850"/>
    <mergeCell ref="H849:K850"/>
    <mergeCell ref="L849:L850"/>
    <mergeCell ref="A851:C852"/>
    <mergeCell ref="D851:F852"/>
    <mergeCell ref="G851:G852"/>
    <mergeCell ref="H851:K852"/>
    <mergeCell ref="L851:L852"/>
    <mergeCell ref="A855:F864"/>
    <mergeCell ref="A865:F865"/>
    <mergeCell ref="A866:F866"/>
    <mergeCell ref="A867:F873"/>
    <mergeCell ref="A877:L877"/>
    <mergeCell ref="A878:L878"/>
    <mergeCell ref="A879:C879"/>
    <mergeCell ref="D879:E879"/>
    <mergeCell ref="F879:H879"/>
    <mergeCell ref="I879:J880"/>
    <mergeCell ref="K879:L880"/>
    <mergeCell ref="A880:C880"/>
    <mergeCell ref="D880:E880"/>
    <mergeCell ref="F880:H880"/>
    <mergeCell ref="A874:C874"/>
    <mergeCell ref="D874:I874"/>
    <mergeCell ref="J874:L874"/>
    <mergeCell ref="A875:C875"/>
    <mergeCell ref="D875:I875"/>
    <mergeCell ref="J875:L876"/>
    <mergeCell ref="A876:C876"/>
    <mergeCell ref="D876:I876"/>
    <mergeCell ref="A881:L881"/>
    <mergeCell ref="A882:A883"/>
    <mergeCell ref="B882:B883"/>
    <mergeCell ref="C882:C883"/>
    <mergeCell ref="D882:F883"/>
    <mergeCell ref="G882:G883"/>
    <mergeCell ref="H882:J883"/>
    <mergeCell ref="K882:K883"/>
    <mergeCell ref="L882:L883"/>
    <mergeCell ref="A884:B885"/>
    <mergeCell ref="C884:F884"/>
    <mergeCell ref="G884:G885"/>
    <mergeCell ref="H884:K885"/>
    <mergeCell ref="L884:L885"/>
    <mergeCell ref="C885:F885"/>
    <mergeCell ref="A886:B887"/>
    <mergeCell ref="C886:C887"/>
    <mergeCell ref="D886:D887"/>
    <mergeCell ref="E886:G887"/>
    <mergeCell ref="J886:K886"/>
    <mergeCell ref="L886:L887"/>
    <mergeCell ref="J887:K887"/>
    <mergeCell ref="A889:C890"/>
    <mergeCell ref="D889:F890"/>
    <mergeCell ref="G889:L890"/>
    <mergeCell ref="A891:C892"/>
    <mergeCell ref="D891:D892"/>
    <mergeCell ref="E891:F892"/>
    <mergeCell ref="G891:G892"/>
    <mergeCell ref="H891:K892"/>
    <mergeCell ref="L891:L892"/>
    <mergeCell ref="A893:C894"/>
    <mergeCell ref="D893:F894"/>
    <mergeCell ref="G893:G894"/>
    <mergeCell ref="H893:K894"/>
    <mergeCell ref="L893:L894"/>
    <mergeCell ref="A895:C896"/>
    <mergeCell ref="D895:F896"/>
    <mergeCell ref="G895:G896"/>
    <mergeCell ref="H895:K896"/>
    <mergeCell ref="L895:L896"/>
    <mergeCell ref="A897:F898"/>
    <mergeCell ref="G897:L898"/>
    <mergeCell ref="G899:G900"/>
    <mergeCell ref="H899:L900"/>
    <mergeCell ref="G901:G903"/>
    <mergeCell ref="H901:L903"/>
    <mergeCell ref="G904:G906"/>
    <mergeCell ref="H904:L906"/>
    <mergeCell ref="G907:G909"/>
    <mergeCell ref="H907:L909"/>
    <mergeCell ref="G910:G912"/>
    <mergeCell ref="H910:L912"/>
    <mergeCell ref="G913:G915"/>
    <mergeCell ref="H913:L915"/>
    <mergeCell ref="G916:L917"/>
    <mergeCell ref="A918:C918"/>
    <mergeCell ref="D918:I918"/>
    <mergeCell ref="J918:L918"/>
    <mergeCell ref="A899:F908"/>
    <mergeCell ref="A909:F909"/>
    <mergeCell ref="A910:F910"/>
    <mergeCell ref="A911:F917"/>
    <mergeCell ref="A919:C919"/>
    <mergeCell ref="D919:I919"/>
    <mergeCell ref="J919:L920"/>
    <mergeCell ref="A920:C920"/>
    <mergeCell ref="D920:I920"/>
    <mergeCell ref="A921:L921"/>
    <mergeCell ref="A922:L922"/>
    <mergeCell ref="A923:C923"/>
    <mergeCell ref="D923:E923"/>
    <mergeCell ref="F923:H923"/>
    <mergeCell ref="I923:J924"/>
    <mergeCell ref="K923:L924"/>
    <mergeCell ref="A924:C924"/>
    <mergeCell ref="D924:E924"/>
    <mergeCell ref="F924:H924"/>
    <mergeCell ref="A925:L925"/>
    <mergeCell ref="A926:A927"/>
    <mergeCell ref="B926:B927"/>
    <mergeCell ref="C926:C927"/>
    <mergeCell ref="D926:F927"/>
    <mergeCell ref="G926:G927"/>
    <mergeCell ref="H926:J927"/>
    <mergeCell ref="K926:K927"/>
    <mergeCell ref="L926:L927"/>
    <mergeCell ref="A928:B929"/>
    <mergeCell ref="C928:F928"/>
    <mergeCell ref="G928:G929"/>
    <mergeCell ref="H928:K929"/>
    <mergeCell ref="L928:L929"/>
    <mergeCell ref="C929:F929"/>
    <mergeCell ref="A930:B931"/>
    <mergeCell ref="C930:C931"/>
    <mergeCell ref="D930:D931"/>
    <mergeCell ref="E930:G931"/>
    <mergeCell ref="J930:K930"/>
    <mergeCell ref="L930:L931"/>
    <mergeCell ref="J931:K931"/>
    <mergeCell ref="A933:C934"/>
    <mergeCell ref="D933:F934"/>
    <mergeCell ref="G933:L934"/>
    <mergeCell ref="A935:C936"/>
    <mergeCell ref="D935:D936"/>
    <mergeCell ref="E935:F936"/>
    <mergeCell ref="G935:G936"/>
    <mergeCell ref="H935:K936"/>
    <mergeCell ref="L935:L936"/>
    <mergeCell ref="A937:C938"/>
    <mergeCell ref="D937:F938"/>
    <mergeCell ref="G937:G938"/>
    <mergeCell ref="H937:K938"/>
    <mergeCell ref="L937:L938"/>
    <mergeCell ref="A939:C940"/>
    <mergeCell ref="D939:F940"/>
    <mergeCell ref="G939:G940"/>
    <mergeCell ref="H939:K940"/>
    <mergeCell ref="L939:L940"/>
    <mergeCell ref="A941:F942"/>
    <mergeCell ref="G941:L942"/>
    <mergeCell ref="G943:G944"/>
    <mergeCell ref="H943:L944"/>
    <mergeCell ref="G945:G947"/>
    <mergeCell ref="H945:L947"/>
    <mergeCell ref="G948:G950"/>
    <mergeCell ref="H948:L950"/>
    <mergeCell ref="G951:G953"/>
    <mergeCell ref="H951:L953"/>
    <mergeCell ref="G954:G956"/>
    <mergeCell ref="H954:L956"/>
    <mergeCell ref="G957:G959"/>
    <mergeCell ref="H957:L959"/>
    <mergeCell ref="G960:L961"/>
    <mergeCell ref="A943:F952"/>
    <mergeCell ref="A953:F953"/>
    <mergeCell ref="A954:F954"/>
    <mergeCell ref="A955:F961"/>
    <mergeCell ref="A962:C962"/>
    <mergeCell ref="D962:I962"/>
    <mergeCell ref="J962:L962"/>
    <mergeCell ref="A963:C963"/>
    <mergeCell ref="D963:I963"/>
    <mergeCell ref="J963:L964"/>
    <mergeCell ref="A964:C964"/>
    <mergeCell ref="D964:I964"/>
    <mergeCell ref="A965:L965"/>
    <mergeCell ref="A966:L966"/>
    <mergeCell ref="A967:C967"/>
    <mergeCell ref="D967:E967"/>
    <mergeCell ref="F967:H967"/>
    <mergeCell ref="I967:J968"/>
    <mergeCell ref="K967:L968"/>
    <mergeCell ref="A968:C968"/>
    <mergeCell ref="D968:E968"/>
    <mergeCell ref="F968:H968"/>
    <mergeCell ref="A969:L969"/>
    <mergeCell ref="A970:A971"/>
    <mergeCell ref="B970:B971"/>
    <mergeCell ref="C970:C971"/>
    <mergeCell ref="D970:F971"/>
    <mergeCell ref="G970:G971"/>
    <mergeCell ref="H970:J971"/>
    <mergeCell ref="K970:K971"/>
    <mergeCell ref="L970:L971"/>
    <mergeCell ref="A972:B973"/>
    <mergeCell ref="C972:F972"/>
    <mergeCell ref="G972:G973"/>
    <mergeCell ref="H972:K973"/>
    <mergeCell ref="L972:L973"/>
    <mergeCell ref="C973:F973"/>
    <mergeCell ref="A974:B975"/>
    <mergeCell ref="C974:C975"/>
    <mergeCell ref="D974:D975"/>
    <mergeCell ref="E974:G975"/>
    <mergeCell ref="J974:K974"/>
    <mergeCell ref="L974:L975"/>
    <mergeCell ref="J975:K975"/>
    <mergeCell ref="A977:C978"/>
    <mergeCell ref="D977:F978"/>
    <mergeCell ref="G977:L978"/>
    <mergeCell ref="A979:C980"/>
    <mergeCell ref="D979:D980"/>
    <mergeCell ref="E979:F980"/>
    <mergeCell ref="G979:G980"/>
    <mergeCell ref="H979:K980"/>
    <mergeCell ref="L979:L980"/>
    <mergeCell ref="A981:C982"/>
    <mergeCell ref="D981:F982"/>
    <mergeCell ref="G981:G982"/>
    <mergeCell ref="H981:K982"/>
    <mergeCell ref="L981:L982"/>
    <mergeCell ref="A983:C984"/>
    <mergeCell ref="D983:F984"/>
    <mergeCell ref="G983:G984"/>
    <mergeCell ref="H983:K984"/>
    <mergeCell ref="L983:L984"/>
    <mergeCell ref="A985:F986"/>
    <mergeCell ref="G985:L986"/>
    <mergeCell ref="G987:G988"/>
    <mergeCell ref="H987:L988"/>
    <mergeCell ref="G989:G991"/>
    <mergeCell ref="H989:L991"/>
    <mergeCell ref="G992:G994"/>
    <mergeCell ref="H992:L994"/>
    <mergeCell ref="G995:G997"/>
    <mergeCell ref="H995:L997"/>
    <mergeCell ref="G998:G1000"/>
    <mergeCell ref="H998:L1000"/>
    <mergeCell ref="G1001:G1003"/>
    <mergeCell ref="H1001:L1003"/>
    <mergeCell ref="G1004:L1005"/>
    <mergeCell ref="A1006:C1006"/>
    <mergeCell ref="D1006:I1006"/>
    <mergeCell ref="J1006:L1006"/>
    <mergeCell ref="A987:F996"/>
    <mergeCell ref="A997:F997"/>
    <mergeCell ref="A998:F998"/>
    <mergeCell ref="A999:F1005"/>
    <mergeCell ref="A1007:C1007"/>
    <mergeCell ref="D1007:I1007"/>
    <mergeCell ref="J1007:L1008"/>
    <mergeCell ref="A1008:C1008"/>
    <mergeCell ref="D1008:I1008"/>
    <mergeCell ref="A1009:L1009"/>
    <mergeCell ref="A1010:L1010"/>
    <mergeCell ref="A1011:C1011"/>
    <mergeCell ref="D1011:E1011"/>
    <mergeCell ref="F1011:H1011"/>
    <mergeCell ref="I1011:J1012"/>
    <mergeCell ref="K1011:L1012"/>
    <mergeCell ref="A1012:C1012"/>
    <mergeCell ref="D1012:E1012"/>
    <mergeCell ref="F1012:H1012"/>
    <mergeCell ref="A1013:L1013"/>
    <mergeCell ref="A1014:A1015"/>
    <mergeCell ref="B1014:B1015"/>
    <mergeCell ref="C1014:C1015"/>
    <mergeCell ref="D1014:F1015"/>
    <mergeCell ref="G1014:G1015"/>
    <mergeCell ref="H1014:J1015"/>
    <mergeCell ref="K1014:K1015"/>
    <mergeCell ref="L1014:L1015"/>
    <mergeCell ref="A1016:B1017"/>
    <mergeCell ref="C1016:F1016"/>
    <mergeCell ref="G1016:G1017"/>
    <mergeCell ref="H1016:K1017"/>
    <mergeCell ref="L1016:L1017"/>
    <mergeCell ref="C1017:F1017"/>
    <mergeCell ref="A1018:B1019"/>
    <mergeCell ref="C1018:C1019"/>
    <mergeCell ref="D1018:D1019"/>
    <mergeCell ref="E1018:G1019"/>
    <mergeCell ref="J1018:K1018"/>
    <mergeCell ref="L1018:L1019"/>
    <mergeCell ref="J1019:K1019"/>
    <mergeCell ref="A1021:C1022"/>
    <mergeCell ref="D1021:F1022"/>
    <mergeCell ref="G1021:L1022"/>
    <mergeCell ref="A1023:C1024"/>
    <mergeCell ref="D1023:D1024"/>
    <mergeCell ref="E1023:F1024"/>
    <mergeCell ref="G1023:G1024"/>
    <mergeCell ref="H1023:K1024"/>
    <mergeCell ref="L1023:L1024"/>
    <mergeCell ref="A1025:C1026"/>
    <mergeCell ref="D1025:F1026"/>
    <mergeCell ref="G1025:G1026"/>
    <mergeCell ref="H1025:K1026"/>
    <mergeCell ref="L1025:L1026"/>
    <mergeCell ref="A1027:C1028"/>
    <mergeCell ref="D1027:F1028"/>
    <mergeCell ref="G1027:G1028"/>
    <mergeCell ref="H1027:K1028"/>
    <mergeCell ref="L1027:L1028"/>
    <mergeCell ref="A1029:F1030"/>
    <mergeCell ref="G1029:L1030"/>
    <mergeCell ref="G1031:G1032"/>
    <mergeCell ref="H1031:L1032"/>
    <mergeCell ref="G1033:G1035"/>
    <mergeCell ref="H1033:L1035"/>
    <mergeCell ref="G1036:G1038"/>
    <mergeCell ref="H1036:L1038"/>
    <mergeCell ref="G1039:G1041"/>
    <mergeCell ref="H1039:L1041"/>
    <mergeCell ref="G1042:G1044"/>
    <mergeCell ref="H1042:L1044"/>
    <mergeCell ref="G1045:G1047"/>
    <mergeCell ref="H1045:L1047"/>
    <mergeCell ref="G1048:L1049"/>
    <mergeCell ref="A1031:F1040"/>
    <mergeCell ref="A1041:F1041"/>
    <mergeCell ref="A1042:F1042"/>
    <mergeCell ref="A1043:F1049"/>
    <mergeCell ref="A1050:C1050"/>
    <mergeCell ref="D1050:I1050"/>
    <mergeCell ref="J1050:L1050"/>
    <mergeCell ref="A1051:C1051"/>
    <mergeCell ref="D1051:I1051"/>
    <mergeCell ref="J1051:L1052"/>
    <mergeCell ref="A1052:C1052"/>
    <mergeCell ref="D1052:I1052"/>
    <mergeCell ref="A1053:L1053"/>
    <mergeCell ref="A1054:L1054"/>
    <mergeCell ref="A1055:C1055"/>
    <mergeCell ref="D1055:E1055"/>
    <mergeCell ref="F1055:H1055"/>
    <mergeCell ref="I1055:J1056"/>
    <mergeCell ref="K1055:L1056"/>
    <mergeCell ref="A1056:C1056"/>
    <mergeCell ref="D1056:E1056"/>
    <mergeCell ref="F1056:H1056"/>
    <mergeCell ref="A1057:L1057"/>
    <mergeCell ref="A1058:A1059"/>
    <mergeCell ref="B1058:B1059"/>
    <mergeCell ref="C1058:C1059"/>
    <mergeCell ref="D1058:F1059"/>
    <mergeCell ref="G1058:G1059"/>
    <mergeCell ref="H1058:J1059"/>
    <mergeCell ref="K1058:K1059"/>
    <mergeCell ref="L1058:L1059"/>
    <mergeCell ref="A1060:B1061"/>
    <mergeCell ref="C1060:F1060"/>
    <mergeCell ref="G1060:G1061"/>
    <mergeCell ref="H1060:K1061"/>
    <mergeCell ref="L1060:L1061"/>
    <mergeCell ref="C1061:F1061"/>
    <mergeCell ref="A1062:B1063"/>
    <mergeCell ref="C1062:C1063"/>
    <mergeCell ref="D1062:D1063"/>
    <mergeCell ref="E1062:G1063"/>
    <mergeCell ref="J1062:K1062"/>
    <mergeCell ref="L1062:L1063"/>
    <mergeCell ref="J1063:K1063"/>
    <mergeCell ref="A1065:C1066"/>
    <mergeCell ref="D1065:F1066"/>
    <mergeCell ref="G1065:L1066"/>
    <mergeCell ref="A1067:C1068"/>
    <mergeCell ref="D1067:D1068"/>
    <mergeCell ref="E1067:F1068"/>
    <mergeCell ref="G1067:G1068"/>
    <mergeCell ref="H1067:K1068"/>
    <mergeCell ref="L1067:L1068"/>
    <mergeCell ref="A1069:C1070"/>
    <mergeCell ref="D1069:F1070"/>
    <mergeCell ref="G1069:G1070"/>
    <mergeCell ref="H1069:K1070"/>
    <mergeCell ref="L1069:L1070"/>
    <mergeCell ref="A1071:C1072"/>
    <mergeCell ref="D1071:F1072"/>
    <mergeCell ref="G1071:G1072"/>
    <mergeCell ref="H1071:K1072"/>
    <mergeCell ref="L1071:L1072"/>
    <mergeCell ref="A1073:F1074"/>
    <mergeCell ref="G1073:L1074"/>
    <mergeCell ref="G1075:G1076"/>
    <mergeCell ref="H1075:L1076"/>
    <mergeCell ref="G1077:G1079"/>
    <mergeCell ref="H1077:L1079"/>
    <mergeCell ref="G1080:G1082"/>
    <mergeCell ref="H1080:L1082"/>
    <mergeCell ref="G1083:G1085"/>
    <mergeCell ref="H1083:L1085"/>
    <mergeCell ref="G1086:G1088"/>
    <mergeCell ref="H1086:L1088"/>
    <mergeCell ref="G1089:G1091"/>
    <mergeCell ref="H1089:L1091"/>
    <mergeCell ref="G1092:L1093"/>
    <mergeCell ref="A1094:C1094"/>
    <mergeCell ref="D1094:I1094"/>
    <mergeCell ref="J1094:L1094"/>
    <mergeCell ref="A1075:F1084"/>
    <mergeCell ref="A1085:F1085"/>
    <mergeCell ref="A1086:F1086"/>
    <mergeCell ref="A1087:F1093"/>
    <mergeCell ref="A1095:C1095"/>
    <mergeCell ref="D1095:I1095"/>
    <mergeCell ref="J1095:L1096"/>
    <mergeCell ref="A1096:C1096"/>
    <mergeCell ref="D1096:I1096"/>
    <mergeCell ref="A1097:L1097"/>
    <mergeCell ref="A1098:L1098"/>
    <mergeCell ref="A1099:C1099"/>
    <mergeCell ref="D1099:E1099"/>
    <mergeCell ref="F1099:H1099"/>
    <mergeCell ref="I1099:J1100"/>
    <mergeCell ref="K1099:L1100"/>
    <mergeCell ref="A1100:C1100"/>
    <mergeCell ref="D1100:E1100"/>
    <mergeCell ref="F1100:H1100"/>
    <mergeCell ref="A1101:L1101"/>
    <mergeCell ref="A1102:A1103"/>
    <mergeCell ref="B1102:B1103"/>
    <mergeCell ref="C1102:C1103"/>
    <mergeCell ref="D1102:F1103"/>
    <mergeCell ref="G1102:G1103"/>
    <mergeCell ref="H1102:J1103"/>
    <mergeCell ref="K1102:K1103"/>
    <mergeCell ref="L1102:L1103"/>
    <mergeCell ref="A1104:B1105"/>
    <mergeCell ref="C1104:F1104"/>
    <mergeCell ref="G1104:G1105"/>
    <mergeCell ref="H1104:K1105"/>
    <mergeCell ref="L1104:L1105"/>
    <mergeCell ref="C1105:F1105"/>
    <mergeCell ref="A1106:B1107"/>
    <mergeCell ref="C1106:C1107"/>
    <mergeCell ref="D1106:D1107"/>
    <mergeCell ref="E1106:G1107"/>
    <mergeCell ref="J1106:K1106"/>
    <mergeCell ref="L1106:L1107"/>
    <mergeCell ref="J1107:K1107"/>
    <mergeCell ref="A1109:C1110"/>
    <mergeCell ref="D1109:F1110"/>
    <mergeCell ref="G1109:L1110"/>
    <mergeCell ref="A1111:C1112"/>
    <mergeCell ref="D1111:D1112"/>
    <mergeCell ref="E1111:F1112"/>
    <mergeCell ref="G1111:G1112"/>
    <mergeCell ref="H1111:K1112"/>
    <mergeCell ref="L1111:L1112"/>
    <mergeCell ref="A1113:C1114"/>
    <mergeCell ref="D1113:F1114"/>
    <mergeCell ref="G1113:G1114"/>
    <mergeCell ref="H1113:K1114"/>
    <mergeCell ref="L1113:L1114"/>
    <mergeCell ref="A1115:C1116"/>
    <mergeCell ref="D1115:F1116"/>
    <mergeCell ref="G1115:G1116"/>
    <mergeCell ref="H1115:K1116"/>
    <mergeCell ref="L1115:L1116"/>
    <mergeCell ref="A1117:F1118"/>
    <mergeCell ref="G1117:L1118"/>
    <mergeCell ref="G1119:G1120"/>
    <mergeCell ref="H1119:L1120"/>
    <mergeCell ref="G1121:G1123"/>
    <mergeCell ref="H1121:L1123"/>
    <mergeCell ref="G1124:G1126"/>
    <mergeCell ref="H1124:L1126"/>
    <mergeCell ref="G1127:G1129"/>
    <mergeCell ref="H1127:L1129"/>
    <mergeCell ref="G1130:G1132"/>
    <mergeCell ref="H1130:L1132"/>
    <mergeCell ref="G1133:G1135"/>
    <mergeCell ref="H1133:L1135"/>
    <mergeCell ref="G1136:L1137"/>
    <mergeCell ref="A1119:F1128"/>
    <mergeCell ref="A1129:F1129"/>
    <mergeCell ref="A1130:F1130"/>
    <mergeCell ref="A1131:F1137"/>
    <mergeCell ref="A1138:C1138"/>
    <mergeCell ref="D1138:I1138"/>
    <mergeCell ref="J1138:L1138"/>
    <mergeCell ref="A1139:C1139"/>
    <mergeCell ref="D1139:I1139"/>
    <mergeCell ref="J1139:L1140"/>
    <mergeCell ref="A1140:C1140"/>
    <mergeCell ref="D1140:I1140"/>
    <mergeCell ref="A1141:L1141"/>
    <mergeCell ref="A1142:L1142"/>
    <mergeCell ref="A1143:C1143"/>
    <mergeCell ref="D1143:E1143"/>
    <mergeCell ref="F1143:H1143"/>
    <mergeCell ref="I1143:J1144"/>
    <mergeCell ref="K1143:L1144"/>
    <mergeCell ref="A1144:C1144"/>
    <mergeCell ref="D1144:E1144"/>
    <mergeCell ref="F1144:H1144"/>
    <mergeCell ref="A1145:L1145"/>
    <mergeCell ref="A1146:A1147"/>
    <mergeCell ref="B1146:B1147"/>
    <mergeCell ref="C1146:C1147"/>
    <mergeCell ref="D1146:F1147"/>
    <mergeCell ref="G1146:G1147"/>
    <mergeCell ref="H1146:J1147"/>
    <mergeCell ref="K1146:K1147"/>
    <mergeCell ref="L1146:L1147"/>
    <mergeCell ref="A1148:B1149"/>
    <mergeCell ref="C1148:F1148"/>
    <mergeCell ref="G1148:G1149"/>
    <mergeCell ref="H1148:K1149"/>
    <mergeCell ref="L1148:L1149"/>
    <mergeCell ref="C1149:F1149"/>
    <mergeCell ref="A1150:B1151"/>
    <mergeCell ref="C1150:C1151"/>
    <mergeCell ref="D1150:D1151"/>
    <mergeCell ref="E1150:G1151"/>
    <mergeCell ref="J1150:K1150"/>
    <mergeCell ref="L1150:L1151"/>
    <mergeCell ref="J1151:K1151"/>
    <mergeCell ref="A1153:C1154"/>
    <mergeCell ref="D1153:F1154"/>
    <mergeCell ref="G1153:L1154"/>
    <mergeCell ref="A1155:C1156"/>
    <mergeCell ref="D1155:D1156"/>
    <mergeCell ref="E1155:F1156"/>
    <mergeCell ref="G1155:G1156"/>
    <mergeCell ref="H1155:K1156"/>
    <mergeCell ref="L1155:L1156"/>
    <mergeCell ref="A1157:C1158"/>
    <mergeCell ref="D1157:F1158"/>
    <mergeCell ref="G1157:G1158"/>
    <mergeCell ref="H1157:K1158"/>
    <mergeCell ref="L1157:L1158"/>
    <mergeCell ref="A1159:C1160"/>
    <mergeCell ref="D1159:F1160"/>
    <mergeCell ref="G1159:G1160"/>
    <mergeCell ref="H1159:K1160"/>
    <mergeCell ref="L1159:L1160"/>
    <mergeCell ref="A1161:F1162"/>
    <mergeCell ref="G1161:L1162"/>
    <mergeCell ref="G1163:G1164"/>
    <mergeCell ref="H1163:L1164"/>
    <mergeCell ref="G1165:G1167"/>
    <mergeCell ref="H1165:L1167"/>
    <mergeCell ref="G1168:G1170"/>
    <mergeCell ref="H1168:L1170"/>
    <mergeCell ref="G1171:G1173"/>
    <mergeCell ref="H1171:L1173"/>
    <mergeCell ref="G1174:G1176"/>
    <mergeCell ref="H1174:L1176"/>
    <mergeCell ref="G1177:G1179"/>
    <mergeCell ref="H1177:L1179"/>
    <mergeCell ref="G1180:L1181"/>
    <mergeCell ref="A1182:C1182"/>
    <mergeCell ref="D1182:I1182"/>
    <mergeCell ref="J1182:L1182"/>
    <mergeCell ref="A1163:F1172"/>
    <mergeCell ref="A1173:F1173"/>
    <mergeCell ref="A1174:F1174"/>
    <mergeCell ref="A1175:F1181"/>
    <mergeCell ref="A1183:C1183"/>
    <mergeCell ref="D1183:I1183"/>
    <mergeCell ref="J1183:L1184"/>
    <mergeCell ref="A1184:C1184"/>
    <mergeCell ref="D1184:I1184"/>
    <mergeCell ref="A1185:L1185"/>
    <mergeCell ref="A1186:L1186"/>
    <mergeCell ref="A1187:C1187"/>
    <mergeCell ref="D1187:E1187"/>
    <mergeCell ref="F1187:H1187"/>
    <mergeCell ref="I1187:J1188"/>
    <mergeCell ref="K1187:L1188"/>
    <mergeCell ref="A1188:C1188"/>
    <mergeCell ref="D1188:E1188"/>
    <mergeCell ref="F1188:H1188"/>
    <mergeCell ref="A1189:L1189"/>
    <mergeCell ref="A1190:A1191"/>
    <mergeCell ref="B1190:B1191"/>
    <mergeCell ref="C1190:C1191"/>
    <mergeCell ref="D1190:F1191"/>
    <mergeCell ref="G1190:G1191"/>
    <mergeCell ref="H1190:J1191"/>
    <mergeCell ref="K1190:K1191"/>
    <mergeCell ref="L1190:L1191"/>
    <mergeCell ref="A1192:B1193"/>
    <mergeCell ref="C1192:F1192"/>
    <mergeCell ref="G1192:G1193"/>
    <mergeCell ref="H1192:K1193"/>
    <mergeCell ref="L1192:L1193"/>
    <mergeCell ref="C1193:F1193"/>
    <mergeCell ref="A1194:B1195"/>
    <mergeCell ref="C1194:C1195"/>
    <mergeCell ref="D1194:D1195"/>
    <mergeCell ref="E1194:G1195"/>
    <mergeCell ref="J1194:K1194"/>
    <mergeCell ref="L1194:L1195"/>
    <mergeCell ref="J1195:K1195"/>
    <mergeCell ref="A1197:C1198"/>
    <mergeCell ref="D1197:F1198"/>
    <mergeCell ref="G1197:L1198"/>
    <mergeCell ref="A1199:C1200"/>
    <mergeCell ref="D1199:D1200"/>
    <mergeCell ref="E1199:F1200"/>
    <mergeCell ref="G1199:G1200"/>
    <mergeCell ref="H1199:K1200"/>
    <mergeCell ref="L1199:L1200"/>
    <mergeCell ref="A1201:C1202"/>
    <mergeCell ref="D1201:F1202"/>
    <mergeCell ref="G1201:G1202"/>
    <mergeCell ref="H1201:K1202"/>
    <mergeCell ref="L1201:L1202"/>
    <mergeCell ref="A1203:C1204"/>
    <mergeCell ref="D1203:F1204"/>
    <mergeCell ref="G1203:G1204"/>
    <mergeCell ref="H1203:K1204"/>
    <mergeCell ref="L1203:L1204"/>
    <mergeCell ref="A1205:F1206"/>
    <mergeCell ref="G1205:L1206"/>
    <mergeCell ref="G1207:G1208"/>
    <mergeCell ref="H1207:L1208"/>
    <mergeCell ref="G1209:G1211"/>
    <mergeCell ref="H1209:L1211"/>
    <mergeCell ref="G1212:G1214"/>
    <mergeCell ref="H1212:L1214"/>
    <mergeCell ref="G1215:G1217"/>
    <mergeCell ref="H1215:L1217"/>
    <mergeCell ref="G1218:G1220"/>
    <mergeCell ref="H1218:L1220"/>
    <mergeCell ref="G1221:G1223"/>
    <mergeCell ref="H1221:L1223"/>
    <mergeCell ref="G1224:L1225"/>
    <mergeCell ref="A1207:F1216"/>
    <mergeCell ref="A1217:F1217"/>
    <mergeCell ref="A1218:F1218"/>
    <mergeCell ref="A1219:F1225"/>
    <mergeCell ref="A1226:C1226"/>
    <mergeCell ref="D1226:I1226"/>
    <mergeCell ref="J1226:L1226"/>
    <mergeCell ref="A1227:C1227"/>
    <mergeCell ref="D1227:I1227"/>
    <mergeCell ref="J1227:L1228"/>
    <mergeCell ref="A1228:C1228"/>
    <mergeCell ref="D1228:I1228"/>
    <mergeCell ref="A1229:L1229"/>
    <mergeCell ref="A1230:L1230"/>
    <mergeCell ref="A1231:C1231"/>
    <mergeCell ref="D1231:E1231"/>
    <mergeCell ref="F1231:H1231"/>
    <mergeCell ref="I1231:J1232"/>
    <mergeCell ref="K1231:L1232"/>
    <mergeCell ref="A1232:C1232"/>
    <mergeCell ref="D1232:E1232"/>
    <mergeCell ref="F1232:H1232"/>
    <mergeCell ref="A1233:L1233"/>
    <mergeCell ref="A1234:A1235"/>
    <mergeCell ref="B1234:B1235"/>
    <mergeCell ref="C1234:C1235"/>
    <mergeCell ref="D1234:F1235"/>
    <mergeCell ref="G1234:G1235"/>
    <mergeCell ref="H1234:J1235"/>
    <mergeCell ref="K1234:K1235"/>
    <mergeCell ref="L1234:L1235"/>
    <mergeCell ref="A1236:B1237"/>
    <mergeCell ref="C1236:F1236"/>
    <mergeCell ref="G1236:G1237"/>
    <mergeCell ref="H1236:K1237"/>
    <mergeCell ref="L1236:L1237"/>
    <mergeCell ref="C1237:F1237"/>
    <mergeCell ref="A1238:B1239"/>
    <mergeCell ref="C1238:C1239"/>
    <mergeCell ref="D1238:D1239"/>
    <mergeCell ref="E1238:G1239"/>
    <mergeCell ref="J1238:K1238"/>
    <mergeCell ref="L1238:L1239"/>
    <mergeCell ref="J1239:K1239"/>
    <mergeCell ref="A1241:C1242"/>
    <mergeCell ref="D1241:F1242"/>
    <mergeCell ref="G1241:L1242"/>
    <mergeCell ref="A1243:C1244"/>
    <mergeCell ref="D1243:D1244"/>
    <mergeCell ref="E1243:F1244"/>
    <mergeCell ref="G1243:G1244"/>
    <mergeCell ref="H1243:K1244"/>
    <mergeCell ref="L1243:L1244"/>
    <mergeCell ref="A1245:C1246"/>
    <mergeCell ref="D1245:F1246"/>
    <mergeCell ref="G1245:G1246"/>
    <mergeCell ref="H1245:K1246"/>
    <mergeCell ref="L1245:L1246"/>
    <mergeCell ref="A1247:C1248"/>
    <mergeCell ref="D1247:F1248"/>
    <mergeCell ref="G1247:G1248"/>
    <mergeCell ref="H1247:K1248"/>
    <mergeCell ref="L1247:L1248"/>
    <mergeCell ref="A1249:F1250"/>
    <mergeCell ref="G1249:L1250"/>
    <mergeCell ref="G1251:G1252"/>
    <mergeCell ref="H1251:L1252"/>
    <mergeCell ref="G1253:G1255"/>
    <mergeCell ref="H1253:L1255"/>
    <mergeCell ref="G1256:G1258"/>
    <mergeCell ref="H1256:L1258"/>
    <mergeCell ref="G1259:G1261"/>
    <mergeCell ref="H1259:L1261"/>
    <mergeCell ref="G1262:G1264"/>
    <mergeCell ref="H1262:L1264"/>
    <mergeCell ref="G1265:G1267"/>
    <mergeCell ref="H1265:L1267"/>
    <mergeCell ref="G1268:L1269"/>
    <mergeCell ref="A1270:C1270"/>
    <mergeCell ref="D1270:I1270"/>
    <mergeCell ref="J1270:L1270"/>
    <mergeCell ref="A1251:F1260"/>
    <mergeCell ref="A1261:F1261"/>
    <mergeCell ref="A1262:F1262"/>
    <mergeCell ref="A1263:F1269"/>
    <mergeCell ref="A1271:C1271"/>
    <mergeCell ref="D1271:I1271"/>
    <mergeCell ref="J1271:L1272"/>
    <mergeCell ref="A1272:C1272"/>
    <mergeCell ref="D1272:I1272"/>
    <mergeCell ref="A1273:L1273"/>
    <mergeCell ref="A1274:L1274"/>
    <mergeCell ref="A1275:C1275"/>
    <mergeCell ref="D1275:E1275"/>
    <mergeCell ref="F1275:H1275"/>
    <mergeCell ref="I1275:J1276"/>
    <mergeCell ref="K1275:L1276"/>
    <mergeCell ref="A1276:C1276"/>
    <mergeCell ref="D1276:E1276"/>
    <mergeCell ref="F1276:H1276"/>
    <mergeCell ref="A1277:L1277"/>
    <mergeCell ref="A1278:A1279"/>
    <mergeCell ref="B1278:B1279"/>
    <mergeCell ref="C1278:C1279"/>
    <mergeCell ref="D1278:F1279"/>
    <mergeCell ref="G1278:G1279"/>
    <mergeCell ref="H1278:J1279"/>
    <mergeCell ref="K1278:K1279"/>
    <mergeCell ref="L1278:L1279"/>
    <mergeCell ref="A1280:B1281"/>
    <mergeCell ref="C1280:F1280"/>
    <mergeCell ref="G1280:G1281"/>
    <mergeCell ref="H1280:K1281"/>
    <mergeCell ref="L1280:L1281"/>
    <mergeCell ref="C1281:F1281"/>
    <mergeCell ref="A1282:B1283"/>
    <mergeCell ref="C1282:C1283"/>
    <mergeCell ref="D1282:D1283"/>
    <mergeCell ref="E1282:G1283"/>
    <mergeCell ref="J1282:K1282"/>
    <mergeCell ref="L1282:L1283"/>
    <mergeCell ref="J1283:K1283"/>
    <mergeCell ref="A1285:C1286"/>
    <mergeCell ref="D1285:F1286"/>
    <mergeCell ref="G1285:L1286"/>
    <mergeCell ref="A1287:C1288"/>
    <mergeCell ref="D1287:D1288"/>
    <mergeCell ref="E1287:F1288"/>
    <mergeCell ref="G1287:G1288"/>
    <mergeCell ref="H1287:K1288"/>
    <mergeCell ref="L1287:L1288"/>
    <mergeCell ref="A1289:C1290"/>
    <mergeCell ref="D1289:F1290"/>
    <mergeCell ref="G1289:G1290"/>
    <mergeCell ref="H1289:K1290"/>
    <mergeCell ref="L1289:L1290"/>
    <mergeCell ref="A1291:C1292"/>
    <mergeCell ref="D1291:F1292"/>
    <mergeCell ref="G1291:G1292"/>
    <mergeCell ref="H1291:K1292"/>
    <mergeCell ref="L1291:L1292"/>
    <mergeCell ref="A1293:F1294"/>
    <mergeCell ref="G1293:L1294"/>
    <mergeCell ref="G1295:G1296"/>
    <mergeCell ref="H1295:L1296"/>
    <mergeCell ref="G1297:G1299"/>
    <mergeCell ref="H1297:L1299"/>
    <mergeCell ref="G1300:G1302"/>
    <mergeCell ref="H1300:L1302"/>
    <mergeCell ref="A1317:L1317"/>
    <mergeCell ref="A1318:L1318"/>
    <mergeCell ref="A1319:C1319"/>
    <mergeCell ref="D1319:E1319"/>
    <mergeCell ref="F1319:H1319"/>
    <mergeCell ref="I1319:J1320"/>
    <mergeCell ref="K1319:L1320"/>
    <mergeCell ref="A1320:C1320"/>
    <mergeCell ref="D1320:E1320"/>
    <mergeCell ref="F1320:H1320"/>
    <mergeCell ref="G1303:G1305"/>
    <mergeCell ref="H1303:L1305"/>
    <mergeCell ref="G1306:G1308"/>
    <mergeCell ref="H1306:L1308"/>
    <mergeCell ref="G1309:G1311"/>
    <mergeCell ref="H1309:L1311"/>
    <mergeCell ref="G1312:L1313"/>
    <mergeCell ref="A1295:F1304"/>
    <mergeCell ref="A1305:F1305"/>
    <mergeCell ref="A1306:F1306"/>
    <mergeCell ref="A1307:F1313"/>
    <mergeCell ref="A1314:C1314"/>
    <mergeCell ref="D1314:I1314"/>
    <mergeCell ref="J1314:L1314"/>
    <mergeCell ref="A1315:C1315"/>
    <mergeCell ref="D1315:I1315"/>
    <mergeCell ref="J1315:L1316"/>
    <mergeCell ref="A1316:C1316"/>
    <mergeCell ref="D1316:I1316"/>
  </mergeCells>
  <phoneticPr fontId="2" type="noConversion"/>
  <conditionalFormatting sqref="D43:E43">
    <cfRule type="expression" dxfId="149" priority="150">
      <formula>$I43&gt;=90</formula>
    </cfRule>
  </conditionalFormatting>
  <conditionalFormatting sqref="F43:H43">
    <cfRule type="expression" dxfId="148" priority="149">
      <formula>AND($I43&gt;=80,$I43&lt;=89.9)</formula>
    </cfRule>
  </conditionalFormatting>
  <conditionalFormatting sqref="D44:E44">
    <cfRule type="expression" dxfId="147" priority="146">
      <formula>AND($I43&gt;=60,$I43&lt;=69.9)</formula>
    </cfRule>
  </conditionalFormatting>
  <conditionalFormatting sqref="F44:H44">
    <cfRule type="expression" dxfId="146" priority="148">
      <formula>AND($I43&lt;=59,$I43&lt;&gt;0)</formula>
    </cfRule>
  </conditionalFormatting>
  <conditionalFormatting sqref="A44:C44">
    <cfRule type="expression" dxfId="145" priority="147">
      <formula>AND($I43&gt;=70,$I43&lt;=79.9)</formula>
    </cfRule>
  </conditionalFormatting>
  <conditionalFormatting sqref="D879:E879">
    <cfRule type="expression" dxfId="144" priority="55">
      <formula>$I879&gt;=90</formula>
    </cfRule>
  </conditionalFormatting>
  <conditionalFormatting sqref="F879:H879">
    <cfRule type="expression" dxfId="143" priority="54">
      <formula>AND($I879&gt;=80,$I879&lt;=89.9)</formula>
    </cfRule>
  </conditionalFormatting>
  <conditionalFormatting sqref="D880:E880">
    <cfRule type="expression" dxfId="142" priority="51">
      <formula>AND($I879&gt;=60,$I879&lt;=69.9)</formula>
    </cfRule>
  </conditionalFormatting>
  <conditionalFormatting sqref="F880:H880">
    <cfRule type="expression" dxfId="141" priority="53">
      <formula>AND($I879&lt;=59,$I879&lt;&gt;0)</formula>
    </cfRule>
  </conditionalFormatting>
  <conditionalFormatting sqref="A880:C880">
    <cfRule type="expression" dxfId="140" priority="52">
      <formula>AND($I879&gt;=70,$I879&lt;=79.9)</formula>
    </cfRule>
  </conditionalFormatting>
  <conditionalFormatting sqref="D87:E87">
    <cfRule type="expression" dxfId="139" priority="145">
      <formula>$I87&gt;=90</formula>
    </cfRule>
  </conditionalFormatting>
  <conditionalFormatting sqref="F87:H87">
    <cfRule type="expression" dxfId="138" priority="144">
      <formula>AND($I87&gt;=80,$I87&lt;=89.9)</formula>
    </cfRule>
  </conditionalFormatting>
  <conditionalFormatting sqref="D88:E88">
    <cfRule type="expression" dxfId="137" priority="141">
      <formula>AND($I87&gt;=60,$I87&lt;=69.9)</formula>
    </cfRule>
  </conditionalFormatting>
  <conditionalFormatting sqref="F88:H88">
    <cfRule type="expression" dxfId="136" priority="143">
      <formula>AND($I87&lt;=59,$I87&lt;&gt;0)</formula>
    </cfRule>
  </conditionalFormatting>
  <conditionalFormatting sqref="A88:C88">
    <cfRule type="expression" dxfId="135" priority="142">
      <formula>AND($I87&gt;=70,$I87&lt;=79.9)</formula>
    </cfRule>
  </conditionalFormatting>
  <conditionalFormatting sqref="D131:E131">
    <cfRule type="expression" dxfId="134" priority="140">
      <formula>$I131&gt;=90</formula>
    </cfRule>
  </conditionalFormatting>
  <conditionalFormatting sqref="F131:H131">
    <cfRule type="expression" dxfId="133" priority="139">
      <formula>AND($I131&gt;=80,$I131&lt;=89.9)</formula>
    </cfRule>
  </conditionalFormatting>
  <conditionalFormatting sqref="D132:E132">
    <cfRule type="expression" dxfId="132" priority="136">
      <formula>AND($I131&gt;=60,$I131&lt;=69.9)</formula>
    </cfRule>
  </conditionalFormatting>
  <conditionalFormatting sqref="F132:H132">
    <cfRule type="expression" dxfId="131" priority="138">
      <formula>AND($I131&lt;=59,$I131&lt;&gt;0)</formula>
    </cfRule>
  </conditionalFormatting>
  <conditionalFormatting sqref="A132:C132">
    <cfRule type="expression" dxfId="130" priority="137">
      <formula>AND($I131&gt;=70,$I131&lt;=79.9)</formula>
    </cfRule>
  </conditionalFormatting>
  <conditionalFormatting sqref="D175:E175">
    <cfRule type="expression" dxfId="129" priority="135">
      <formula>$I175&gt;=90</formula>
    </cfRule>
  </conditionalFormatting>
  <conditionalFormatting sqref="F175:H175">
    <cfRule type="expression" dxfId="128" priority="134">
      <formula>AND($I175&gt;=80,$I175&lt;=89.9)</formula>
    </cfRule>
  </conditionalFormatting>
  <conditionalFormatting sqref="D176:E176">
    <cfRule type="expression" dxfId="127" priority="131">
      <formula>AND($I175&gt;=60,$I175&lt;=69.9)</formula>
    </cfRule>
  </conditionalFormatting>
  <conditionalFormatting sqref="F176:H176">
    <cfRule type="expression" dxfId="126" priority="133">
      <formula>AND($I175&lt;=59,$I175&lt;&gt;0)</formula>
    </cfRule>
  </conditionalFormatting>
  <conditionalFormatting sqref="A176:C176">
    <cfRule type="expression" dxfId="125" priority="132">
      <formula>AND($I175&gt;=70,$I175&lt;=79.9)</formula>
    </cfRule>
  </conditionalFormatting>
  <conditionalFormatting sqref="D219:E219">
    <cfRule type="expression" dxfId="124" priority="130">
      <formula>$I219&gt;=90</formula>
    </cfRule>
  </conditionalFormatting>
  <conditionalFormatting sqref="F219:H219">
    <cfRule type="expression" dxfId="123" priority="129">
      <formula>AND($I219&gt;=80,$I219&lt;=89.9)</formula>
    </cfRule>
  </conditionalFormatting>
  <conditionalFormatting sqref="D220:E220">
    <cfRule type="expression" dxfId="122" priority="126">
      <formula>AND($I219&gt;=60,$I219&lt;=69.9)</formula>
    </cfRule>
  </conditionalFormatting>
  <conditionalFormatting sqref="F220:H220">
    <cfRule type="expression" dxfId="121" priority="128">
      <formula>AND($I219&lt;=59,$I219&lt;&gt;0)</formula>
    </cfRule>
  </conditionalFormatting>
  <conditionalFormatting sqref="A220:C220">
    <cfRule type="expression" dxfId="120" priority="127">
      <formula>AND($I219&gt;=70,$I219&lt;=79.9)</formula>
    </cfRule>
  </conditionalFormatting>
  <conditionalFormatting sqref="D263:E263">
    <cfRule type="expression" dxfId="119" priority="125">
      <formula>$I263&gt;=90</formula>
    </cfRule>
  </conditionalFormatting>
  <conditionalFormatting sqref="F263:H263">
    <cfRule type="expression" dxfId="118" priority="124">
      <formula>AND($I263&gt;=80,$I263&lt;=89.9)</formula>
    </cfRule>
  </conditionalFormatting>
  <conditionalFormatting sqref="D264:E264">
    <cfRule type="expression" dxfId="117" priority="121">
      <formula>AND($I263&gt;=60,$I263&lt;=69.9)</formula>
    </cfRule>
  </conditionalFormatting>
  <conditionalFormatting sqref="F264:H264">
    <cfRule type="expression" dxfId="116" priority="123">
      <formula>AND($I263&lt;=59,$I263&lt;&gt;0)</formula>
    </cfRule>
  </conditionalFormatting>
  <conditionalFormatting sqref="A264:C264">
    <cfRule type="expression" dxfId="115" priority="122">
      <formula>AND($I263&gt;=70,$I263&lt;=79.9)</formula>
    </cfRule>
  </conditionalFormatting>
  <conditionalFormatting sqref="D307:E307">
    <cfRule type="expression" dxfId="114" priority="120">
      <formula>$I307&gt;=90</formula>
    </cfRule>
  </conditionalFormatting>
  <conditionalFormatting sqref="F307:H307">
    <cfRule type="expression" dxfId="113" priority="119">
      <formula>AND($I307&gt;=80,$I307&lt;=89.9)</formula>
    </cfRule>
  </conditionalFormatting>
  <conditionalFormatting sqref="D308:E308">
    <cfRule type="expression" dxfId="112" priority="116">
      <formula>AND($I307&gt;=60,$I307&lt;=69.9)</formula>
    </cfRule>
  </conditionalFormatting>
  <conditionalFormatting sqref="F308:H308">
    <cfRule type="expression" dxfId="111" priority="118">
      <formula>AND($I307&lt;=59,$I307&lt;&gt;0)</formula>
    </cfRule>
  </conditionalFormatting>
  <conditionalFormatting sqref="A308:C308">
    <cfRule type="expression" dxfId="110" priority="117">
      <formula>AND($I307&gt;=70,$I307&lt;=79.9)</formula>
    </cfRule>
  </conditionalFormatting>
  <conditionalFormatting sqref="D351:E351">
    <cfRule type="expression" dxfId="109" priority="115">
      <formula>$I351&gt;=90</formula>
    </cfRule>
  </conditionalFormatting>
  <conditionalFormatting sqref="F351:H351">
    <cfRule type="expression" dxfId="108" priority="114">
      <formula>AND($I351&gt;=80,$I351&lt;=89.9)</formula>
    </cfRule>
  </conditionalFormatting>
  <conditionalFormatting sqref="D352:E352">
    <cfRule type="expression" dxfId="107" priority="111">
      <formula>AND($I351&gt;=60,$I351&lt;=69.9)</formula>
    </cfRule>
  </conditionalFormatting>
  <conditionalFormatting sqref="F352:H352">
    <cfRule type="expression" dxfId="106" priority="113">
      <formula>AND($I351&lt;=59,$I351&lt;&gt;0)</formula>
    </cfRule>
  </conditionalFormatting>
  <conditionalFormatting sqref="A352:C352">
    <cfRule type="expression" dxfId="105" priority="112">
      <formula>AND($I351&gt;=70,$I351&lt;=79.9)</formula>
    </cfRule>
  </conditionalFormatting>
  <conditionalFormatting sqref="D395:E395">
    <cfRule type="expression" dxfId="104" priority="110">
      <formula>$I395&gt;=90</formula>
    </cfRule>
  </conditionalFormatting>
  <conditionalFormatting sqref="F395:H395">
    <cfRule type="expression" dxfId="103" priority="109">
      <formula>AND($I395&gt;=80,$I395&lt;=89.9)</formula>
    </cfRule>
  </conditionalFormatting>
  <conditionalFormatting sqref="D396:E396">
    <cfRule type="expression" dxfId="102" priority="106">
      <formula>AND($I395&gt;=60,$I395&lt;=69.9)</formula>
    </cfRule>
  </conditionalFormatting>
  <conditionalFormatting sqref="F396:H396">
    <cfRule type="expression" dxfId="101" priority="108">
      <formula>AND($I395&lt;=59,$I395&lt;&gt;0)</formula>
    </cfRule>
  </conditionalFormatting>
  <conditionalFormatting sqref="A396:C396">
    <cfRule type="expression" dxfId="100" priority="107">
      <formula>AND($I395&gt;=70,$I395&lt;=79.9)</formula>
    </cfRule>
  </conditionalFormatting>
  <conditionalFormatting sqref="D439:E439">
    <cfRule type="expression" dxfId="99" priority="105">
      <formula>$I439&gt;=90</formula>
    </cfRule>
  </conditionalFormatting>
  <conditionalFormatting sqref="F439:H439">
    <cfRule type="expression" dxfId="98" priority="104">
      <formula>AND($I439&gt;=80,$I439&lt;=89.9)</formula>
    </cfRule>
  </conditionalFormatting>
  <conditionalFormatting sqref="D440:E440">
    <cfRule type="expression" dxfId="97" priority="101">
      <formula>AND($I439&gt;=60,$I439&lt;=69.9)</formula>
    </cfRule>
  </conditionalFormatting>
  <conditionalFormatting sqref="F440:H440">
    <cfRule type="expression" dxfId="96" priority="103">
      <formula>AND($I439&lt;=59,$I439&lt;&gt;0)</formula>
    </cfRule>
  </conditionalFormatting>
  <conditionalFormatting sqref="A440:C440">
    <cfRule type="expression" dxfId="95" priority="102">
      <formula>AND($I439&gt;=70,$I439&lt;=79.9)</formula>
    </cfRule>
  </conditionalFormatting>
  <conditionalFormatting sqref="D483:E483">
    <cfRule type="expression" dxfId="94" priority="100">
      <formula>$I483&gt;=90</formula>
    </cfRule>
  </conditionalFormatting>
  <conditionalFormatting sqref="F483:H483">
    <cfRule type="expression" dxfId="93" priority="99">
      <formula>AND($I483&gt;=80,$I483&lt;=89.9)</formula>
    </cfRule>
  </conditionalFormatting>
  <conditionalFormatting sqref="D484:E484">
    <cfRule type="expression" dxfId="92" priority="96">
      <formula>AND($I483&gt;=60,$I483&lt;=69.9)</formula>
    </cfRule>
  </conditionalFormatting>
  <conditionalFormatting sqref="F484:H484">
    <cfRule type="expression" dxfId="91" priority="98">
      <formula>AND($I483&lt;=59,$I483&lt;&gt;0)</formula>
    </cfRule>
  </conditionalFormatting>
  <conditionalFormatting sqref="A484:C484">
    <cfRule type="expression" dxfId="90" priority="97">
      <formula>AND($I483&gt;=70,$I483&lt;=79.9)</formula>
    </cfRule>
  </conditionalFormatting>
  <conditionalFormatting sqref="D527:E527">
    <cfRule type="expression" dxfId="89" priority="95">
      <formula>$I527&gt;=90</formula>
    </cfRule>
  </conditionalFormatting>
  <conditionalFormatting sqref="F527:H527">
    <cfRule type="expression" dxfId="88" priority="94">
      <formula>AND($I527&gt;=80,$I527&lt;=89.9)</formula>
    </cfRule>
  </conditionalFormatting>
  <conditionalFormatting sqref="D528:E528">
    <cfRule type="expression" dxfId="87" priority="91">
      <formula>AND($I527&gt;=60,$I527&lt;=69.9)</formula>
    </cfRule>
  </conditionalFormatting>
  <conditionalFormatting sqref="F528:H528">
    <cfRule type="expression" dxfId="86" priority="93">
      <formula>AND($I527&lt;=59,$I527&lt;&gt;0)</formula>
    </cfRule>
  </conditionalFormatting>
  <conditionalFormatting sqref="A528:C528">
    <cfRule type="expression" dxfId="85" priority="92">
      <formula>AND($I527&gt;=70,$I527&lt;=79.9)</formula>
    </cfRule>
  </conditionalFormatting>
  <conditionalFormatting sqref="D571:E571">
    <cfRule type="expression" dxfId="84" priority="90">
      <formula>$I571&gt;=90</formula>
    </cfRule>
  </conditionalFormatting>
  <conditionalFormatting sqref="F571:H571">
    <cfRule type="expression" dxfId="83" priority="89">
      <formula>AND($I571&gt;=80,$I571&lt;=89.9)</formula>
    </cfRule>
  </conditionalFormatting>
  <conditionalFormatting sqref="D572:E572">
    <cfRule type="expression" dxfId="82" priority="86">
      <formula>AND($I571&gt;=60,$I571&lt;=69.9)</formula>
    </cfRule>
  </conditionalFormatting>
  <conditionalFormatting sqref="F572:H572">
    <cfRule type="expression" dxfId="81" priority="88">
      <formula>AND($I571&lt;=59,$I571&lt;&gt;0)</formula>
    </cfRule>
  </conditionalFormatting>
  <conditionalFormatting sqref="A572:C572">
    <cfRule type="expression" dxfId="80" priority="87">
      <formula>AND($I571&gt;=70,$I571&lt;=79.9)</formula>
    </cfRule>
  </conditionalFormatting>
  <conditionalFormatting sqref="D615:E615">
    <cfRule type="expression" dxfId="79" priority="85">
      <formula>$I615&gt;=90</formula>
    </cfRule>
  </conditionalFormatting>
  <conditionalFormatting sqref="F615:H615">
    <cfRule type="expression" dxfId="78" priority="84">
      <formula>AND($I615&gt;=80,$I615&lt;=89.9)</formula>
    </cfRule>
  </conditionalFormatting>
  <conditionalFormatting sqref="D616:E616">
    <cfRule type="expression" dxfId="77" priority="81">
      <formula>AND($I615&gt;=60,$I615&lt;=69.9)</formula>
    </cfRule>
  </conditionalFormatting>
  <conditionalFormatting sqref="F616:H616">
    <cfRule type="expression" dxfId="76" priority="83">
      <formula>AND($I615&lt;=59,$I615&lt;&gt;0)</formula>
    </cfRule>
  </conditionalFormatting>
  <conditionalFormatting sqref="A616:C616">
    <cfRule type="expression" dxfId="75" priority="82">
      <formula>AND($I615&gt;=70,$I615&lt;=79.9)</formula>
    </cfRule>
  </conditionalFormatting>
  <conditionalFormatting sqref="D659:E659">
    <cfRule type="expression" dxfId="74" priority="80">
      <formula>$I659&gt;=90</formula>
    </cfRule>
  </conditionalFormatting>
  <conditionalFormatting sqref="F659:H659">
    <cfRule type="expression" dxfId="73" priority="79">
      <formula>AND($I659&gt;=80,$I659&lt;=89.9)</formula>
    </cfRule>
  </conditionalFormatting>
  <conditionalFormatting sqref="D660:E660">
    <cfRule type="expression" dxfId="72" priority="76">
      <formula>AND($I659&gt;=60,$I659&lt;=69.9)</formula>
    </cfRule>
  </conditionalFormatting>
  <conditionalFormatting sqref="F660:H660">
    <cfRule type="expression" dxfId="71" priority="78">
      <formula>AND($I659&lt;=59,$I659&lt;&gt;0)</formula>
    </cfRule>
  </conditionalFormatting>
  <conditionalFormatting sqref="A660:C660">
    <cfRule type="expression" dxfId="70" priority="77">
      <formula>AND($I659&gt;=70,$I659&lt;=79.9)</formula>
    </cfRule>
  </conditionalFormatting>
  <conditionalFormatting sqref="D703:E703">
    <cfRule type="expression" dxfId="69" priority="75">
      <formula>$I703&gt;=90</formula>
    </cfRule>
  </conditionalFormatting>
  <conditionalFormatting sqref="F703:H703">
    <cfRule type="expression" dxfId="68" priority="74">
      <formula>AND($I703&gt;=80,$I703&lt;=89.9)</formula>
    </cfRule>
  </conditionalFormatting>
  <conditionalFormatting sqref="D704:E704">
    <cfRule type="expression" dxfId="67" priority="71">
      <formula>AND($I703&gt;=60,$I703&lt;=69.9)</formula>
    </cfRule>
  </conditionalFormatting>
  <conditionalFormatting sqref="F704:H704">
    <cfRule type="expression" dxfId="66" priority="73">
      <formula>AND($I703&lt;=59,$I703&lt;&gt;0)</formula>
    </cfRule>
  </conditionalFormatting>
  <conditionalFormatting sqref="A704:C704">
    <cfRule type="expression" dxfId="65" priority="72">
      <formula>AND($I703&gt;=70,$I703&lt;=79.9)</formula>
    </cfRule>
  </conditionalFormatting>
  <conditionalFormatting sqref="D747:E747">
    <cfRule type="expression" dxfId="64" priority="70">
      <formula>$I747&gt;=90</formula>
    </cfRule>
  </conditionalFormatting>
  <conditionalFormatting sqref="F747:H747">
    <cfRule type="expression" dxfId="63" priority="69">
      <formula>AND($I747&gt;=80,$I747&lt;=89.9)</formula>
    </cfRule>
  </conditionalFormatting>
  <conditionalFormatting sqref="D748:E748">
    <cfRule type="expression" dxfId="62" priority="66">
      <formula>AND($I747&gt;=60,$I747&lt;=69.9)</formula>
    </cfRule>
  </conditionalFormatting>
  <conditionalFormatting sqref="F748:H748">
    <cfRule type="expression" dxfId="61" priority="68">
      <formula>AND($I747&lt;=59,$I747&lt;&gt;0)</formula>
    </cfRule>
  </conditionalFormatting>
  <conditionalFormatting sqref="A748:C748">
    <cfRule type="expression" dxfId="60" priority="67">
      <formula>AND($I747&gt;=70,$I747&lt;=79.9)</formula>
    </cfRule>
  </conditionalFormatting>
  <conditionalFormatting sqref="D791:E791">
    <cfRule type="expression" dxfId="59" priority="65">
      <formula>$I791&gt;=90</formula>
    </cfRule>
  </conditionalFormatting>
  <conditionalFormatting sqref="F791:H791">
    <cfRule type="expression" dxfId="58" priority="64">
      <formula>AND($I791&gt;=80,$I791&lt;=89.9)</formula>
    </cfRule>
  </conditionalFormatting>
  <conditionalFormatting sqref="D792:E792">
    <cfRule type="expression" dxfId="57" priority="61">
      <formula>AND($I791&gt;=60,$I791&lt;=69.9)</formula>
    </cfRule>
  </conditionalFormatting>
  <conditionalFormatting sqref="F792:H792">
    <cfRule type="expression" dxfId="56" priority="63">
      <formula>AND($I791&lt;=59,$I791&lt;&gt;0)</formula>
    </cfRule>
  </conditionalFormatting>
  <conditionalFormatting sqref="A792:C792">
    <cfRule type="expression" dxfId="55" priority="62">
      <formula>AND($I791&gt;=70,$I791&lt;=79.9)</formula>
    </cfRule>
  </conditionalFormatting>
  <conditionalFormatting sqref="D835:E835">
    <cfRule type="expression" dxfId="54" priority="60">
      <formula>$I835&gt;=90</formula>
    </cfRule>
  </conditionalFormatting>
  <conditionalFormatting sqref="F835:H835">
    <cfRule type="expression" dxfId="53" priority="59">
      <formula>AND($I835&gt;=80,$I835&lt;=89.9)</formula>
    </cfRule>
  </conditionalFormatting>
  <conditionalFormatting sqref="D836:E836">
    <cfRule type="expression" dxfId="52" priority="56">
      <formula>AND($I835&gt;=60,$I835&lt;=69.9)</formula>
    </cfRule>
  </conditionalFormatting>
  <conditionalFormatting sqref="F836:H836">
    <cfRule type="expression" dxfId="51" priority="58">
      <formula>AND($I835&lt;=59,$I835&lt;&gt;0)</formula>
    </cfRule>
  </conditionalFormatting>
  <conditionalFormatting sqref="A836:C836">
    <cfRule type="expression" dxfId="50" priority="57">
      <formula>AND($I835&gt;=70,$I835&lt;=79.9)</formula>
    </cfRule>
  </conditionalFormatting>
  <conditionalFormatting sqref="D923:E923">
    <cfRule type="expression" dxfId="49" priority="50">
      <formula>$I923&gt;=90</formula>
    </cfRule>
  </conditionalFormatting>
  <conditionalFormatting sqref="F923:H923">
    <cfRule type="expression" dxfId="48" priority="49">
      <formula>AND($I923&gt;=80,$I923&lt;=89.9)</formula>
    </cfRule>
  </conditionalFormatting>
  <conditionalFormatting sqref="D924:E924">
    <cfRule type="expression" dxfId="47" priority="46">
      <formula>AND($I923&gt;=60,$I923&lt;=69.9)</formula>
    </cfRule>
  </conditionalFormatting>
  <conditionalFormatting sqref="F924:H924">
    <cfRule type="expression" dxfId="46" priority="48">
      <formula>AND($I923&lt;=59,$I923&lt;&gt;0)</formula>
    </cfRule>
  </conditionalFormatting>
  <conditionalFormatting sqref="A924:C924">
    <cfRule type="expression" dxfId="45" priority="47">
      <formula>AND($I923&gt;=70,$I923&lt;=79.9)</formula>
    </cfRule>
  </conditionalFormatting>
  <conditionalFormatting sqref="D967:E967">
    <cfRule type="expression" dxfId="44" priority="45">
      <formula>$I967&gt;=90</formula>
    </cfRule>
  </conditionalFormatting>
  <conditionalFormatting sqref="F967:H967">
    <cfRule type="expression" dxfId="43" priority="44">
      <formula>AND($I967&gt;=80,$I967&lt;=89.9)</formula>
    </cfRule>
  </conditionalFormatting>
  <conditionalFormatting sqref="D968:E968">
    <cfRule type="expression" dxfId="42" priority="41">
      <formula>AND($I967&gt;=60,$I967&lt;=69.9)</formula>
    </cfRule>
  </conditionalFormatting>
  <conditionalFormatting sqref="F968:H968">
    <cfRule type="expression" dxfId="41" priority="43">
      <formula>AND($I967&lt;=59,$I967&lt;&gt;0)</formula>
    </cfRule>
  </conditionalFormatting>
  <conditionalFormatting sqref="A968:C968">
    <cfRule type="expression" dxfId="40" priority="42">
      <formula>AND($I967&gt;=70,$I967&lt;=79.9)</formula>
    </cfRule>
  </conditionalFormatting>
  <conditionalFormatting sqref="D1011:E1011">
    <cfRule type="expression" dxfId="39" priority="40">
      <formula>$I1011&gt;=90</formula>
    </cfRule>
  </conditionalFormatting>
  <conditionalFormatting sqref="F1011:H1011">
    <cfRule type="expression" dxfId="38" priority="39">
      <formula>AND($I1011&gt;=80,$I1011&lt;=89.9)</formula>
    </cfRule>
  </conditionalFormatting>
  <conditionalFormatting sqref="D1012:E1012">
    <cfRule type="expression" dxfId="37" priority="36">
      <formula>AND($I1011&gt;=60,$I1011&lt;=69.9)</formula>
    </cfRule>
  </conditionalFormatting>
  <conditionalFormatting sqref="F1012:H1012">
    <cfRule type="expression" dxfId="36" priority="38">
      <formula>AND($I1011&lt;=59,$I1011&lt;&gt;0)</formula>
    </cfRule>
  </conditionalFormatting>
  <conditionalFormatting sqref="A1012:C1012">
    <cfRule type="expression" dxfId="35" priority="37">
      <formula>AND($I1011&gt;=70,$I1011&lt;=79.9)</formula>
    </cfRule>
  </conditionalFormatting>
  <conditionalFormatting sqref="D1055:E1055">
    <cfRule type="expression" dxfId="34" priority="35">
      <formula>$I1055&gt;=90</formula>
    </cfRule>
  </conditionalFormatting>
  <conditionalFormatting sqref="F1055:H1055">
    <cfRule type="expression" dxfId="33" priority="34">
      <formula>AND($I1055&gt;=80,$I1055&lt;=89.9)</formula>
    </cfRule>
  </conditionalFormatting>
  <conditionalFormatting sqref="D1056:E1056">
    <cfRule type="expression" dxfId="32" priority="31">
      <formula>AND($I1055&gt;=60,$I1055&lt;=69.9)</formula>
    </cfRule>
  </conditionalFormatting>
  <conditionalFormatting sqref="F1056:H1056">
    <cfRule type="expression" dxfId="31" priority="33">
      <formula>AND($I1055&lt;=59,$I1055&lt;&gt;0)</formula>
    </cfRule>
  </conditionalFormatting>
  <conditionalFormatting sqref="A1056:C1056">
    <cfRule type="expression" dxfId="30" priority="32">
      <formula>AND($I1055&gt;=70,$I1055&lt;=79.9)</formula>
    </cfRule>
  </conditionalFormatting>
  <conditionalFormatting sqref="D1099:E1099">
    <cfRule type="expression" dxfId="29" priority="30">
      <formula>$I1099&gt;=90</formula>
    </cfRule>
  </conditionalFormatting>
  <conditionalFormatting sqref="F1099:H1099">
    <cfRule type="expression" dxfId="28" priority="29">
      <formula>AND($I1099&gt;=80,$I1099&lt;=89.9)</formula>
    </cfRule>
  </conditionalFormatting>
  <conditionalFormatting sqref="D1100:E1100">
    <cfRule type="expression" dxfId="27" priority="26">
      <formula>AND($I1099&gt;=60,$I1099&lt;=69.9)</formula>
    </cfRule>
  </conditionalFormatting>
  <conditionalFormatting sqref="F1100:H1100">
    <cfRule type="expression" dxfId="26" priority="28">
      <formula>AND($I1099&lt;=59,$I1099&lt;&gt;0)</formula>
    </cfRule>
  </conditionalFormatting>
  <conditionalFormatting sqref="A1100:C1100">
    <cfRule type="expression" dxfId="25" priority="27">
      <formula>AND($I1099&gt;=70,$I1099&lt;=79.9)</formula>
    </cfRule>
  </conditionalFormatting>
  <conditionalFormatting sqref="D1143:E1143">
    <cfRule type="expression" dxfId="24" priority="25">
      <formula>$I1143&gt;=90</formula>
    </cfRule>
  </conditionalFormatting>
  <conditionalFormatting sqref="F1143:H1143">
    <cfRule type="expression" dxfId="23" priority="24">
      <formula>AND($I1143&gt;=80,$I1143&lt;=89.9)</formula>
    </cfRule>
  </conditionalFormatting>
  <conditionalFormatting sqref="D1144:E1144">
    <cfRule type="expression" dxfId="22" priority="21">
      <formula>AND($I1143&gt;=60,$I1143&lt;=69.9)</formula>
    </cfRule>
  </conditionalFormatting>
  <conditionalFormatting sqref="F1144:H1144">
    <cfRule type="expression" dxfId="21" priority="23">
      <formula>AND($I1143&lt;=59,$I1143&lt;&gt;0)</formula>
    </cfRule>
  </conditionalFormatting>
  <conditionalFormatting sqref="A1144:C1144">
    <cfRule type="expression" dxfId="20" priority="22">
      <formula>AND($I1143&gt;=70,$I1143&lt;=79.9)</formula>
    </cfRule>
  </conditionalFormatting>
  <conditionalFormatting sqref="D1187:E1187">
    <cfRule type="expression" dxfId="19" priority="20">
      <formula>$I1187&gt;=90</formula>
    </cfRule>
  </conditionalFormatting>
  <conditionalFormatting sqref="F1187:H1187">
    <cfRule type="expression" dxfId="18" priority="19">
      <formula>AND($I1187&gt;=80,$I1187&lt;=89.9)</formula>
    </cfRule>
  </conditionalFormatting>
  <conditionalFormatting sqref="D1188:E1188">
    <cfRule type="expression" dxfId="17" priority="16">
      <formula>AND($I1187&gt;=60,$I1187&lt;=69.9)</formula>
    </cfRule>
  </conditionalFormatting>
  <conditionalFormatting sqref="F1188:H1188">
    <cfRule type="expression" dxfId="16" priority="18">
      <formula>AND($I1187&lt;=59,$I1187&lt;&gt;0)</formula>
    </cfRule>
  </conditionalFormatting>
  <conditionalFormatting sqref="A1188:C1188">
    <cfRule type="expression" dxfId="15" priority="17">
      <formula>AND($I1187&gt;=70,$I1187&lt;=79.9)</formula>
    </cfRule>
  </conditionalFormatting>
  <conditionalFormatting sqref="D1231:E1231">
    <cfRule type="expression" dxfId="14" priority="15">
      <formula>$I1231&gt;=90</formula>
    </cfRule>
  </conditionalFormatting>
  <conditionalFormatting sqref="F1231:H1231">
    <cfRule type="expression" dxfId="13" priority="14">
      <formula>AND($I1231&gt;=80,$I1231&lt;=89.9)</formula>
    </cfRule>
  </conditionalFormatting>
  <conditionalFormatting sqref="D1232:E1232">
    <cfRule type="expression" dxfId="12" priority="11">
      <formula>AND($I1231&gt;=60,$I1231&lt;=69.9)</formula>
    </cfRule>
  </conditionalFormatting>
  <conditionalFormatting sqref="F1232:H1232">
    <cfRule type="expression" dxfId="11" priority="13">
      <formula>AND($I1231&lt;=59,$I1231&lt;&gt;0)</formula>
    </cfRule>
  </conditionalFormatting>
  <conditionalFormatting sqref="A1232:C1232">
    <cfRule type="expression" dxfId="10" priority="12">
      <formula>AND($I1231&gt;=70,$I1231&lt;=79.9)</formula>
    </cfRule>
  </conditionalFormatting>
  <conditionalFormatting sqref="D1275:E1275">
    <cfRule type="expression" dxfId="9" priority="10">
      <formula>$I1275&gt;=90</formula>
    </cfRule>
  </conditionalFormatting>
  <conditionalFormatting sqref="F1275:H1275">
    <cfRule type="expression" dxfId="8" priority="9">
      <formula>AND($I1275&gt;=80,$I1275&lt;=89.9)</formula>
    </cfRule>
  </conditionalFormatting>
  <conditionalFormatting sqref="D1276:E1276">
    <cfRule type="expression" dxfId="7" priority="6">
      <formula>AND($I1275&gt;=60,$I1275&lt;=69.9)</formula>
    </cfRule>
  </conditionalFormatting>
  <conditionalFormatting sqref="F1276:H1276">
    <cfRule type="expression" dxfId="6" priority="8">
      <formula>AND($I1275&lt;=59,$I1275&lt;&gt;0)</formula>
    </cfRule>
  </conditionalFormatting>
  <conditionalFormatting sqref="A1276:C1276">
    <cfRule type="expression" dxfId="5" priority="7">
      <formula>AND($I1275&gt;=70,$I1275&lt;=79.9)</formula>
    </cfRule>
  </conditionalFormatting>
  <conditionalFormatting sqref="D1319:E1319">
    <cfRule type="expression" dxfId="4" priority="5">
      <formula>$I1319&gt;=90</formula>
    </cfRule>
  </conditionalFormatting>
  <conditionalFormatting sqref="F1319:H1319">
    <cfRule type="expression" dxfId="3" priority="4">
      <formula>AND($I1319&gt;=80,$I1319&lt;=89.9)</formula>
    </cfRule>
  </conditionalFormatting>
  <conditionalFormatting sqref="D1320:E1320">
    <cfRule type="expression" dxfId="2" priority="1">
      <formula>AND($I1319&gt;=60,$I1319&lt;=69.9)</formula>
    </cfRule>
  </conditionalFormatting>
  <conditionalFormatting sqref="F1320:H1320">
    <cfRule type="expression" dxfId="1" priority="3">
      <formula>AND($I1319&lt;=59,$I1319&lt;&gt;0)</formula>
    </cfRule>
  </conditionalFormatting>
  <conditionalFormatting sqref="A1320:C1320">
    <cfRule type="expression" dxfId="0" priority="2">
      <formula>AND($I1319&gt;=70,$I1319&lt;=79.9)</formula>
    </cfRule>
  </conditionalFormatting>
  <pageMargins left="0.23622047244094491" right="0.23622047244094491" top="0.19685039370078741" bottom="0.19685039370078741" header="0.31496062992125984" footer="0.31496062992125984"/>
  <pageSetup paperSize="9" scale="96" fitToHeight="0" orientation="portrait" r:id="rId1"/>
  <rowBreaks count="29" manualBreakCount="29">
    <brk id="44" max="11" man="1"/>
    <brk id="88" max="11" man="1"/>
    <brk id="132" max="11" man="1"/>
    <brk id="176" max="11" man="1"/>
    <brk id="220" max="11" man="1"/>
    <brk id="264" max="11" man="1"/>
    <brk id="308" max="11" man="1"/>
    <brk id="352" max="11" man="1"/>
    <brk id="396" max="11" man="1"/>
    <brk id="440" max="11" man="1"/>
    <brk id="484" max="11" man="1"/>
    <brk id="528" max="11" man="1"/>
    <brk id="572" max="11" man="1"/>
    <brk id="616" max="11" man="1"/>
    <brk id="660" max="11" man="1"/>
    <brk id="704" max="11" man="1"/>
    <brk id="748" max="11" man="1"/>
    <brk id="792" max="11" man="1"/>
    <brk id="836" max="11" man="1"/>
    <brk id="880" max="16383" man="1"/>
    <brk id="924" max="16383" man="1"/>
    <brk id="968" max="16383" man="1"/>
    <brk id="1012" max="16383" man="1"/>
    <brk id="1056" max="16383" man="1"/>
    <brk id="1100" max="16383" man="1"/>
    <brk id="1144" max="16383" man="1"/>
    <brk id="1188" max="16383" man="1"/>
    <brk id="1232" max="16383" man="1"/>
    <brk id="1276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</vt:i4>
      </vt:variant>
    </vt:vector>
  </HeadingPairs>
  <TitlesOfParts>
    <vt:vector size="7" baseType="lpstr">
      <vt:lpstr>기초데이타(작성필히)</vt:lpstr>
      <vt:lpstr>훈련생명단</vt:lpstr>
      <vt:lpstr>점수계산</vt:lpstr>
      <vt:lpstr>전체 훈련생 평가 채점표</vt:lpstr>
      <vt:lpstr>보고서</vt:lpstr>
      <vt:lpstr>수행평가</vt:lpstr>
      <vt:lpstr>'전체 훈련생 평가 채점표'!Print_Area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GG</cp:lastModifiedBy>
  <cp:lastPrinted>2021-02-09T02:01:46Z</cp:lastPrinted>
  <dcterms:created xsi:type="dcterms:W3CDTF">2019-09-20T06:26:25Z</dcterms:created>
  <dcterms:modified xsi:type="dcterms:W3CDTF">2021-11-30T06:49:37Z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d3d4fdbf-67c3-471e-a7aa-da1a93919e6a</vt:lpwstr>
  </property>
</Properties>
</file>